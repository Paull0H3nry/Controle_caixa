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"/>
    </mc:Choice>
  </mc:AlternateContent>
  <xr:revisionPtr revIDLastSave="0" documentId="13_ncr:1_{1E37607E-147F-493A-AE51-D3F418761BCF}" xr6:coauthVersionLast="47" xr6:coauthVersionMax="47" xr10:uidLastSave="{00000000-0000-0000-0000-000000000000}"/>
  <bookViews>
    <workbookView xWindow="-108" yWindow="-108" windowWidth="23256" windowHeight="12576" tabRatio="444" firstSheet="1" activeTab="2" xr2:uid="{5EF76259-F22D-417A-BE38-652F726E16C5}"/>
  </bookViews>
  <sheets>
    <sheet name="Informações empresa" sheetId="5" r:id="rId1"/>
    <sheet name="Cálculos" sheetId="2" r:id="rId2"/>
    <sheet name="Home" sheetId="7" r:id="rId3"/>
    <sheet name="Registro" sheetId="1" r:id="rId4"/>
    <sheet name="Entrada" sheetId="9" r:id="rId5"/>
    <sheet name="Saida" sheetId="10" r:id="rId6"/>
    <sheet name="Dados" sheetId="8" r:id="rId7"/>
  </sheets>
  <definedNames>
    <definedName name="Nomes">#REF!</definedName>
  </definedNames>
  <calcPr calcId="18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9" l="1"/>
  <c r="H7" i="9"/>
  <c r="G8" i="9"/>
  <c r="H8" i="9"/>
  <c r="G9" i="9"/>
  <c r="H9" i="9"/>
  <c r="G10" i="9"/>
  <c r="H10" i="9"/>
  <c r="G11" i="9"/>
  <c r="H11" i="9"/>
  <c r="G12" i="9"/>
  <c r="H12" i="9"/>
  <c r="G13" i="9"/>
  <c r="H13" i="9"/>
  <c r="G14" i="9"/>
  <c r="H14" i="9"/>
  <c r="B6" i="2"/>
  <c r="B5" i="2"/>
  <c r="B2" i="2"/>
  <c r="G15" i="9"/>
  <c r="H15" i="9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3" i="9"/>
  <c r="H23" i="9"/>
  <c r="G24" i="9"/>
  <c r="H24" i="9"/>
  <c r="B3" i="9"/>
  <c r="G25" i="9"/>
  <c r="H25" i="9"/>
  <c r="G26" i="9"/>
  <c r="H26" i="9"/>
  <c r="G27" i="9"/>
  <c r="H27" i="9"/>
  <c r="G28" i="9"/>
  <c r="H28" i="9"/>
  <c r="G29" i="9"/>
  <c r="H29" i="9"/>
  <c r="G30" i="9"/>
  <c r="H30" i="9"/>
  <c r="G31" i="9"/>
  <c r="H31" i="9"/>
  <c r="G32" i="9"/>
  <c r="H32" i="9"/>
  <c r="G33" i="9"/>
  <c r="H33" i="9"/>
  <c r="G34" i="9"/>
  <c r="H34" i="9"/>
  <c r="G35" i="9"/>
  <c r="H35" i="9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G43" i="9"/>
  <c r="H43" i="9"/>
  <c r="G44" i="9"/>
  <c r="H44" i="9"/>
  <c r="G45" i="9"/>
  <c r="H45" i="9"/>
  <c r="G46" i="9" l="1"/>
  <c r="H46" i="9"/>
  <c r="G47" i="9" l="1"/>
  <c r="H47" i="9"/>
  <c r="G48" i="9"/>
  <c r="H48" i="9"/>
  <c r="G49" i="9"/>
  <c r="H49" i="9"/>
  <c r="G50" i="9" l="1"/>
  <c r="H50" i="9"/>
  <c r="L24" i="2" l="1"/>
  <c r="L23" i="2"/>
  <c r="L22" i="2"/>
  <c r="L21" i="2"/>
  <c r="L19" i="2"/>
  <c r="L18" i="2"/>
  <c r="L17" i="2"/>
  <c r="L16" i="2"/>
  <c r="L15" i="2"/>
  <c r="L14" i="2"/>
  <c r="G51" i="9"/>
  <c r="H51" i="9"/>
  <c r="G52" i="9"/>
  <c r="H52" i="9"/>
  <c r="G53" i="9"/>
  <c r="H53" i="9"/>
  <c r="G46" i="2"/>
  <c r="G43" i="2"/>
  <c r="G49" i="2"/>
  <c r="L13" i="2" l="1"/>
  <c r="G54" i="9"/>
  <c r="H54" i="9"/>
  <c r="G55" i="9"/>
  <c r="H55" i="9"/>
  <c r="G56" i="9"/>
  <c r="H56" i="9"/>
  <c r="G57" i="9" l="1"/>
  <c r="H57" i="9"/>
  <c r="G71" i="9"/>
  <c r="H71" i="9"/>
  <c r="G72" i="9"/>
  <c r="H72" i="9"/>
  <c r="G73" i="9"/>
  <c r="H73" i="9"/>
  <c r="G74" i="9"/>
  <c r="H74" i="9"/>
  <c r="G58" i="9"/>
  <c r="H58" i="9"/>
  <c r="J24" i="2" l="1"/>
  <c r="G59" i="9"/>
  <c r="H59" i="9"/>
  <c r="G61" i="9"/>
  <c r="H61" i="9"/>
  <c r="G62" i="9"/>
  <c r="H62" i="9"/>
  <c r="G60" i="9" l="1"/>
  <c r="H60" i="9"/>
  <c r="G63" i="9"/>
  <c r="H63" i="9"/>
  <c r="G64" i="9"/>
  <c r="H64" i="9"/>
  <c r="G65" i="9"/>
  <c r="H65" i="9"/>
  <c r="G66" i="9" l="1"/>
  <c r="H66" i="9"/>
  <c r="G67" i="9"/>
  <c r="H67" i="9"/>
  <c r="G68" i="9"/>
  <c r="H68" i="9"/>
  <c r="G69" i="9" l="1"/>
  <c r="H69" i="9"/>
  <c r="G70" i="9"/>
  <c r="H70" i="9"/>
  <c r="G75" i="9"/>
  <c r="H75" i="9"/>
  <c r="G76" i="9" l="1"/>
  <c r="H76" i="9"/>
  <c r="G77" i="9"/>
  <c r="H77" i="9"/>
  <c r="G78" i="9" l="1"/>
  <c r="H78" i="9"/>
  <c r="G79" i="9" l="1"/>
  <c r="H79" i="9"/>
  <c r="G80" i="9" l="1"/>
  <c r="H80" i="9"/>
  <c r="D10" i="1"/>
  <c r="G81" i="9"/>
  <c r="H81" i="9"/>
  <c r="G82" i="9" l="1"/>
  <c r="H82" i="9"/>
  <c r="G88" i="9"/>
  <c r="H88" i="9"/>
  <c r="G89" i="9"/>
  <c r="H89" i="9"/>
  <c r="G90" i="9"/>
  <c r="H90" i="9"/>
  <c r="G91" i="9" l="1"/>
  <c r="H91" i="9"/>
  <c r="G83" i="9"/>
  <c r="H83" i="9"/>
  <c r="G84" i="9" l="1"/>
  <c r="H84" i="9"/>
  <c r="G85" i="9"/>
  <c r="H85" i="9"/>
  <c r="G86" i="9" l="1"/>
  <c r="H86" i="9"/>
  <c r="G87" i="9" l="1"/>
  <c r="H87" i="9"/>
  <c r="G92" i="9"/>
  <c r="H92" i="9"/>
  <c r="G93" i="9" l="1"/>
  <c r="H93" i="9"/>
  <c r="G94" i="9"/>
  <c r="H94" i="9"/>
  <c r="G45" i="2"/>
  <c r="G44" i="2"/>
  <c r="G95" i="9" l="1"/>
  <c r="H95" i="9"/>
  <c r="G97" i="9"/>
  <c r="H97" i="9"/>
  <c r="G98" i="9"/>
  <c r="H98" i="9"/>
  <c r="G99" i="9"/>
  <c r="H99" i="9"/>
  <c r="G96" i="9" l="1"/>
  <c r="H96" i="9"/>
  <c r="G100" i="9" l="1"/>
  <c r="H100" i="9"/>
  <c r="G101" i="9" l="1"/>
  <c r="H101" i="9"/>
  <c r="G102" i="9"/>
  <c r="H102" i="9"/>
  <c r="J23" i="2"/>
  <c r="J22" i="2"/>
  <c r="J21" i="2"/>
  <c r="G103" i="9"/>
  <c r="H103" i="9"/>
  <c r="G104" i="9"/>
  <c r="H104" i="9"/>
  <c r="G105" i="9"/>
  <c r="H105" i="9"/>
  <c r="G106" i="9" l="1"/>
  <c r="H106" i="9"/>
  <c r="G107" i="9"/>
  <c r="H107" i="9"/>
  <c r="G108" i="9"/>
  <c r="H108" i="9"/>
  <c r="G109" i="9"/>
  <c r="H109" i="9"/>
  <c r="G110" i="9" l="1"/>
  <c r="H110" i="9"/>
  <c r="G111" i="9" l="1"/>
  <c r="H111" i="9"/>
  <c r="G112" i="9"/>
  <c r="H112" i="9"/>
  <c r="G113" i="9"/>
  <c r="H113" i="9"/>
  <c r="G114" i="9"/>
  <c r="H114" i="9"/>
  <c r="G115" i="9"/>
  <c r="H115" i="9"/>
  <c r="G116" i="9"/>
  <c r="H116" i="9"/>
  <c r="G117" i="9"/>
  <c r="H117" i="9"/>
  <c r="G118" i="9"/>
  <c r="H118" i="9"/>
  <c r="G119" i="9"/>
  <c r="H119" i="9"/>
  <c r="G120" i="9"/>
  <c r="H120" i="9"/>
  <c r="G121" i="9"/>
  <c r="H121" i="9"/>
  <c r="G122" i="9" l="1"/>
  <c r="H122" i="9"/>
  <c r="G123" i="9"/>
  <c r="H123" i="9"/>
  <c r="G124" i="9"/>
  <c r="H124" i="9"/>
  <c r="G125" i="9"/>
  <c r="H125" i="9"/>
  <c r="G126" i="9"/>
  <c r="H126" i="9"/>
  <c r="G128" i="9"/>
  <c r="H128" i="9"/>
  <c r="G129" i="9"/>
  <c r="H129" i="9"/>
  <c r="G130" i="9" l="1"/>
  <c r="G6" i="9"/>
  <c r="G127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H127" i="9"/>
  <c r="H130" i="9"/>
  <c r="H131" i="9"/>
  <c r="H132" i="9"/>
  <c r="H133" i="9"/>
  <c r="H134" i="9"/>
  <c r="H135" i="9"/>
  <c r="H136" i="9"/>
  <c r="H137" i="9"/>
  <c r="H138" i="9"/>
  <c r="H139" i="9"/>
  <c r="H140" i="9"/>
  <c r="H141" i="9"/>
  <c r="H142" i="9"/>
  <c r="H143" i="9"/>
  <c r="H144" i="9"/>
  <c r="H145" i="9"/>
  <c r="H146" i="9"/>
  <c r="H147" i="9"/>
  <c r="H148" i="9"/>
  <c r="H149" i="9"/>
  <c r="H150" i="9"/>
  <c r="H151" i="9"/>
  <c r="H152" i="9"/>
  <c r="H153" i="9"/>
  <c r="G50" i="2" l="1"/>
  <c r="H154" i="9"/>
  <c r="B4" i="1" l="1"/>
  <c r="H8" i="10"/>
  <c r="H9" i="10"/>
  <c r="H10" i="10"/>
  <c r="H11" i="10"/>
  <c r="H155" i="9"/>
  <c r="H156" i="9"/>
  <c r="H157" i="9"/>
  <c r="H158" i="9"/>
  <c r="H159" i="9"/>
  <c r="H160" i="9"/>
  <c r="H161" i="9"/>
  <c r="H162" i="9"/>
  <c r="H163" i="9"/>
  <c r="H164" i="9"/>
  <c r="H165" i="9"/>
  <c r="H166" i="9"/>
  <c r="H167" i="9"/>
  <c r="H168" i="9"/>
  <c r="H169" i="9"/>
  <c r="H170" i="9"/>
  <c r="H171" i="9"/>
  <c r="H172" i="9"/>
  <c r="H173" i="9"/>
  <c r="H174" i="9"/>
  <c r="H175" i="9"/>
  <c r="H176" i="9"/>
  <c r="H177" i="9"/>
  <c r="H178" i="9"/>
  <c r="H179" i="9"/>
  <c r="H180" i="9"/>
  <c r="H181" i="9"/>
  <c r="H182" i="9"/>
  <c r="H183" i="9"/>
  <c r="H184" i="9"/>
  <c r="H185" i="9"/>
  <c r="H186" i="9"/>
  <c r="H187" i="9"/>
  <c r="H188" i="9"/>
  <c r="H189" i="9"/>
  <c r="H190" i="9"/>
  <c r="H191" i="9"/>
  <c r="H192" i="9"/>
  <c r="H193" i="9"/>
  <c r="H194" i="9"/>
  <c r="H195" i="9"/>
  <c r="H196" i="9"/>
  <c r="H197" i="9"/>
  <c r="H198" i="9"/>
  <c r="H199" i="9"/>
  <c r="H200" i="9"/>
  <c r="H201" i="9"/>
  <c r="H202" i="9"/>
  <c r="H203" i="9"/>
  <c r="H204" i="9"/>
  <c r="H205" i="9"/>
  <c r="H206" i="9"/>
  <c r="H207" i="9"/>
  <c r="H208" i="9"/>
  <c r="H209" i="9"/>
  <c r="H210" i="9"/>
  <c r="H211" i="9"/>
  <c r="H212" i="9"/>
  <c r="H213" i="9"/>
  <c r="H214" i="9"/>
  <c r="H215" i="9"/>
  <c r="H216" i="9"/>
  <c r="H217" i="9"/>
  <c r="H218" i="9"/>
  <c r="H219" i="9"/>
  <c r="H220" i="9"/>
  <c r="H221" i="9"/>
  <c r="H222" i="9"/>
  <c r="H223" i="9"/>
  <c r="H224" i="9"/>
  <c r="H225" i="9"/>
  <c r="H226" i="9"/>
  <c r="H227" i="9"/>
  <c r="H228" i="9"/>
  <c r="H229" i="9"/>
  <c r="H230" i="9"/>
  <c r="H231" i="9"/>
  <c r="H232" i="9"/>
  <c r="H233" i="9"/>
  <c r="B3" i="2"/>
  <c r="K9" i="2"/>
  <c r="K8" i="2"/>
  <c r="B3" i="10"/>
  <c r="G7" i="10"/>
  <c r="G6" i="10" l="1"/>
  <c r="G8" i="10"/>
  <c r="G9" i="10"/>
  <c r="G10" i="10"/>
  <c r="G11" i="10"/>
  <c r="J14" i="2" l="1"/>
  <c r="J18" i="2"/>
  <c r="J15" i="2"/>
  <c r="J19" i="2"/>
  <c r="J16" i="2"/>
  <c r="J17" i="2"/>
</calcChain>
</file>

<file path=xl/sharedStrings.xml><?xml version="1.0" encoding="utf-8"?>
<sst xmlns="http://schemas.openxmlformats.org/spreadsheetml/2006/main" count="847" uniqueCount="260">
  <si>
    <t>CPF</t>
  </si>
  <si>
    <t>Tipos de pagamentos</t>
  </si>
  <si>
    <t>Dinheiro</t>
  </si>
  <si>
    <t>NOME</t>
  </si>
  <si>
    <t>TIPO</t>
  </si>
  <si>
    <t>DESCRIÇÃO</t>
  </si>
  <si>
    <t>VALOR</t>
  </si>
  <si>
    <t>DATA</t>
  </si>
  <si>
    <t>Cartão/TED</t>
  </si>
  <si>
    <t>Mayra Carvalho Albuquerque</t>
  </si>
  <si>
    <t>Sinal</t>
  </si>
  <si>
    <t>Pagamento tattoo</t>
  </si>
  <si>
    <t>Bruna Nascimento</t>
  </si>
  <si>
    <t>Pagamento Tattoo</t>
  </si>
  <si>
    <t>Tipos de Descrição</t>
  </si>
  <si>
    <t>Denise Mitiko Mirco Sugihara</t>
  </si>
  <si>
    <t>Nome da Empresa:</t>
  </si>
  <si>
    <t>Andre Catalan</t>
  </si>
  <si>
    <t>CNPJ:</t>
  </si>
  <si>
    <t>32.073.473/0001-05</t>
  </si>
  <si>
    <t>Data de Início:</t>
  </si>
  <si>
    <t>Montante inicial:</t>
  </si>
  <si>
    <t>DADOS DA CONTA</t>
  </si>
  <si>
    <t xml:space="preserve">Titular: </t>
  </si>
  <si>
    <t>Andre Murilo Da silva Catalan</t>
  </si>
  <si>
    <t>Banco:</t>
  </si>
  <si>
    <t>341 - Itau</t>
  </si>
  <si>
    <t>Agencia:</t>
  </si>
  <si>
    <t>Conta corrente:</t>
  </si>
  <si>
    <t>34344-2</t>
  </si>
  <si>
    <t>Informações de Funcionários</t>
  </si>
  <si>
    <t>Paulo Henrique Souza de Oliveira</t>
  </si>
  <si>
    <t>Auxiliar de limpeza</t>
  </si>
  <si>
    <t>Começou dia 25/08</t>
  </si>
  <si>
    <t>Recebe</t>
  </si>
  <si>
    <t>mês em mês</t>
  </si>
  <si>
    <t>15 em 15 dias</t>
  </si>
  <si>
    <t>Nome</t>
  </si>
  <si>
    <t>Dia que começou</t>
  </si>
  <si>
    <t xml:space="preserve">Jayme </t>
  </si>
  <si>
    <t>Walter Prates da Silva Junior</t>
  </si>
  <si>
    <t>Thassio</t>
  </si>
  <si>
    <t>Fabiana Marques de Castro</t>
  </si>
  <si>
    <t>Taxa TAR CONTA CERTA</t>
  </si>
  <si>
    <t>Rafael Tadeu</t>
  </si>
  <si>
    <t>Lucas Amancio Goulart</t>
  </si>
  <si>
    <t>Ressarcimento Comercial</t>
  </si>
  <si>
    <t>Fabiola Teixeira Botelho</t>
  </si>
  <si>
    <t>Pablo Dias</t>
  </si>
  <si>
    <t>Lucas Miranda de Oliveira</t>
  </si>
  <si>
    <t>Yves</t>
  </si>
  <si>
    <t>Luisa Diniz</t>
  </si>
  <si>
    <t>Lucas Candido</t>
  </si>
  <si>
    <t>Ana Carolina Garcia Braga</t>
  </si>
  <si>
    <t>Igor Elisque Barreto</t>
  </si>
  <si>
    <t>Bruno Martins</t>
  </si>
  <si>
    <t>Bruno Maia Alves da Costa</t>
  </si>
  <si>
    <t>Izabella Pimenta Alkmim</t>
  </si>
  <si>
    <t>Marcelo Maia Teodoro</t>
  </si>
  <si>
    <t>Mariana Lorraine</t>
  </si>
  <si>
    <t>Henrique Cardoso de Souza</t>
  </si>
  <si>
    <t>Bruno Malta</t>
  </si>
  <si>
    <t>Passaram no cartão</t>
  </si>
  <si>
    <t xml:space="preserve">Warley Cristiano </t>
  </si>
  <si>
    <t>Ana Carolina</t>
  </si>
  <si>
    <t>Henrique Carvalho</t>
  </si>
  <si>
    <t>Walter Prates</t>
  </si>
  <si>
    <t>Walter</t>
  </si>
  <si>
    <t>Davi Pires Quirino</t>
  </si>
  <si>
    <t>Pedro Henrique</t>
  </si>
  <si>
    <t>Pagamento</t>
  </si>
  <si>
    <t>Compra de Verduras</t>
  </si>
  <si>
    <t>Brenda Mirieli</t>
  </si>
  <si>
    <t>Sean Michael Banker</t>
  </si>
  <si>
    <t>Eliseu Pedro</t>
  </si>
  <si>
    <t>Salário</t>
  </si>
  <si>
    <t>Pagamento de contas</t>
  </si>
  <si>
    <t>Taxa</t>
  </si>
  <si>
    <t>Reajuste</t>
  </si>
  <si>
    <t>...</t>
  </si>
  <si>
    <t>Júnior Araújo</t>
  </si>
  <si>
    <t>Christiano Gouveia</t>
  </si>
  <si>
    <t>Ariani de Mello</t>
  </si>
  <si>
    <t>Christiano Teixeira</t>
  </si>
  <si>
    <t>Julia</t>
  </si>
  <si>
    <t>Cesar Augusto</t>
  </si>
  <si>
    <t>Gisele Muniz de Andrade</t>
  </si>
  <si>
    <t>Eliane da Silva Mapa</t>
  </si>
  <si>
    <t>Mariana T. de Souza Reis</t>
  </si>
  <si>
    <t>Daniel Nunes</t>
  </si>
  <si>
    <t>Luis Felipe de Castro</t>
  </si>
  <si>
    <t>David Geraldo</t>
  </si>
  <si>
    <t>Contagem</t>
  </si>
  <si>
    <t>Tipo de pagamento</t>
  </si>
  <si>
    <t>Descrição</t>
  </si>
  <si>
    <t>Joyce Mendes</t>
  </si>
  <si>
    <t>STENIO GONTIJO DE LACERDA (Carol)</t>
  </si>
  <si>
    <t>Monique Ribeiro Gomes</t>
  </si>
  <si>
    <t>Victoria Fontes</t>
  </si>
  <si>
    <t>Diego Alves Melo Reis</t>
  </si>
  <si>
    <t>Matheus Calembo</t>
  </si>
  <si>
    <t>Tiago Moreira Alves Reis</t>
  </si>
  <si>
    <t>Jaísa Santana</t>
  </si>
  <si>
    <t>Jonas Andrade</t>
  </si>
  <si>
    <t>Daniel Henriques da Silva</t>
  </si>
  <si>
    <t>MÊS</t>
  </si>
  <si>
    <t>Nº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</si>
  <si>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</si>
  <si>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</si>
  <si>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</si>
  <si>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</si>
  <si>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</si>
  <si>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</si>
  <si>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</si>
  <si>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</si>
  <si>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</si>
  <si>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</si>
  <si>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</si>
  <si>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</si>
  <si>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ANO</t>
  </si>
  <si>
    <t>dinheiro</t>
  </si>
  <si>
    <t>cartão/ted</t>
  </si>
  <si>
    <t>Total Entrada:</t>
  </si>
  <si>
    <t>Deyse (latina)</t>
  </si>
  <si>
    <t>VAL</t>
  </si>
  <si>
    <t>Paola Santiago</t>
  </si>
  <si>
    <t>Brunno Cesar</t>
  </si>
  <si>
    <t>Camila</t>
  </si>
  <si>
    <t>Hudson Alves</t>
  </si>
  <si>
    <t>Bruno Tolentino</t>
  </si>
  <si>
    <t>Lucas (pobre)</t>
  </si>
  <si>
    <t>Arthur</t>
  </si>
  <si>
    <t>Rose</t>
  </si>
  <si>
    <t>Izabella</t>
  </si>
  <si>
    <t>Sergio</t>
  </si>
  <si>
    <t xml:space="preserve">marinela </t>
  </si>
  <si>
    <t>Fabíola Botellho</t>
  </si>
  <si>
    <t>Erika Rabelo Diniz</t>
  </si>
  <si>
    <t>Athos</t>
  </si>
  <si>
    <t>Pagamento Tattoo *descontado a conta paga</t>
  </si>
  <si>
    <t>Stephanie da Cunha Calmon</t>
  </si>
  <si>
    <t>Guilherme Rodrigues Batista</t>
  </si>
  <si>
    <t>Daniele Rezende</t>
  </si>
  <si>
    <t>André Luis Carvalho</t>
  </si>
  <si>
    <t>Anny</t>
  </si>
  <si>
    <t>Noelson Vieira Costa</t>
  </si>
  <si>
    <t>Milena Durães de Andrade</t>
  </si>
  <si>
    <t>Hosana Lopes Durães Andrade</t>
  </si>
  <si>
    <t>Amanda</t>
  </si>
  <si>
    <t>Luis Henrique Soares Pena</t>
  </si>
  <si>
    <t>Workshop</t>
  </si>
  <si>
    <t>Victor Aredes</t>
  </si>
  <si>
    <t>Rodrigo</t>
  </si>
  <si>
    <t>Vitor</t>
  </si>
  <si>
    <t xml:space="preserve">Cézar </t>
  </si>
  <si>
    <t>Lucas Cavaleiro</t>
  </si>
  <si>
    <t>Lídia Diniz</t>
  </si>
  <si>
    <t>Daniel</t>
  </si>
  <si>
    <t>Saulo (tattoo na mão)</t>
  </si>
  <si>
    <t>Rayane</t>
  </si>
  <si>
    <t>Bruno</t>
  </si>
  <si>
    <t>Tomaz Salles de Amorim Pereira</t>
  </si>
  <si>
    <t>Michelle Maria Cordeiro Alves</t>
  </si>
  <si>
    <t>Julio Cesar dos Reis Pena</t>
  </si>
  <si>
    <t>Breno Penha</t>
  </si>
  <si>
    <t>Patricia Nascimento Viega</t>
  </si>
  <si>
    <t>Fabiane de Oliveira Silva</t>
  </si>
  <si>
    <t>Rótulos de Linha</t>
  </si>
  <si>
    <t>Total Geral</t>
  </si>
  <si>
    <t>Rótulos de Coluna</t>
  </si>
  <si>
    <t>Total</t>
  </si>
  <si>
    <t>2020</t>
  </si>
  <si>
    <t>Rafael Eufrásio Lopes Dias</t>
  </si>
  <si>
    <t>Maria Aparecida Silva M. Castro</t>
  </si>
  <si>
    <t>Rogerio S.</t>
  </si>
  <si>
    <t>Iuri Alkimim F.</t>
  </si>
  <si>
    <t>Guilherme Albuquerque</t>
  </si>
  <si>
    <t>Mês de Outubro</t>
  </si>
  <si>
    <t>Mês de Setembro</t>
  </si>
  <si>
    <t>Mês de Novembro</t>
  </si>
  <si>
    <t>Sávio Frederico M. Diniz</t>
  </si>
  <si>
    <t>Luan Assis</t>
  </si>
  <si>
    <t>Wellis</t>
  </si>
  <si>
    <t>Thayane V. Jesus Carvalho</t>
  </si>
  <si>
    <t>Luana Inostrosa Maynart</t>
  </si>
  <si>
    <t>Vinicius Simões Parentoni</t>
  </si>
  <si>
    <t>Tânia Mara Pereira</t>
  </si>
  <si>
    <t>João Gabriel M. Duca</t>
  </si>
  <si>
    <t>Lucas Gonçalves Cláudio</t>
  </si>
  <si>
    <t>Leonardo Oliveira</t>
  </si>
  <si>
    <t>Danielly Pereira Santos</t>
  </si>
  <si>
    <t>Luciana Nacif da Costa Valle</t>
  </si>
  <si>
    <t>Pedro Couto</t>
  </si>
  <si>
    <t>Noca</t>
  </si>
  <si>
    <t>Fábio Oliver</t>
  </si>
  <si>
    <t>Flávia</t>
  </si>
  <si>
    <t>Marina</t>
  </si>
  <si>
    <t>Júnior Oliveira</t>
  </si>
  <si>
    <t>128.218.976-00</t>
  </si>
  <si>
    <t>cpf</t>
  </si>
  <si>
    <t>Magna Barbosa Cassiano</t>
  </si>
  <si>
    <t>Walber Barros Martins</t>
  </si>
  <si>
    <t>Luís Fernando Rodrigues</t>
  </si>
  <si>
    <t>Alex de Matos Meneguelli</t>
  </si>
  <si>
    <t>William A. Moreira</t>
  </si>
  <si>
    <t>Bruno Malta Pinto</t>
  </si>
  <si>
    <t>(vazio)</t>
  </si>
  <si>
    <t>Ana Paula Miqueletti</t>
  </si>
  <si>
    <t>Marcelo Carvalho</t>
  </si>
  <si>
    <t>Vitor Anthoine</t>
  </si>
  <si>
    <t>Ana Júlia Leite Alves</t>
  </si>
  <si>
    <t>2021</t>
  </si>
  <si>
    <t>Mês de Dezembro</t>
  </si>
  <si>
    <t>Mês de Janeiro</t>
  </si>
  <si>
    <t>Pedro Henrique Velasco Silveira</t>
  </si>
  <si>
    <t>Sean Banker</t>
  </si>
  <si>
    <t>Jorddana Rocha de Almeida</t>
  </si>
  <si>
    <t>Symaira Poliana Nonato</t>
  </si>
  <si>
    <t>Carolina Calazans Lopes Leopoldino</t>
  </si>
  <si>
    <t>Cynthia Lessa da Costa</t>
  </si>
  <si>
    <t>Isabel Bastos Avelar</t>
  </si>
  <si>
    <t>Jean Lucas Alves Ruffini</t>
  </si>
  <si>
    <t>Leonardo Ribeiro</t>
  </si>
  <si>
    <t>Luísa Siqueira Tarquinio</t>
  </si>
  <si>
    <t>Amanda de Almeida Pires e Souza</t>
  </si>
  <si>
    <t>Bruno Ferraz</t>
  </si>
  <si>
    <t>Adelaide de Oliveira Ribeiro (sinal da ana)</t>
  </si>
  <si>
    <t>André Roberto Jesus Freitas</t>
  </si>
  <si>
    <t>Jessica Menegueli</t>
  </si>
  <si>
    <t>Marina Filizzola Melquiades de Oliveira</t>
  </si>
  <si>
    <t>Raquel Pires da Cruz</t>
  </si>
  <si>
    <t>André Roberto Jesus</t>
  </si>
  <si>
    <t>Maillana Lameira</t>
  </si>
  <si>
    <t>Leonardo Augusto Nascimento</t>
  </si>
  <si>
    <t>Patrícia Martins</t>
  </si>
  <si>
    <t>Luiza Simões Azevedo</t>
  </si>
  <si>
    <t>Diogo M. Almeida Faria</t>
  </si>
  <si>
    <t>Olavo Neto</t>
  </si>
  <si>
    <t>João Victor Nezio de Carvalho</t>
  </si>
  <si>
    <t>1 Total</t>
  </si>
  <si>
    <t>04/jan</t>
  </si>
  <si>
    <t>05/jan</t>
  </si>
  <si>
    <t>06/jan</t>
  </si>
  <si>
    <t>07/jan</t>
  </si>
  <si>
    <t>08/jan</t>
  </si>
  <si>
    <t>13/jan</t>
  </si>
  <si>
    <t>14/jan</t>
  </si>
  <si>
    <t>18/jan</t>
  </si>
  <si>
    <t>20/jan</t>
  </si>
  <si>
    <t>21/jan</t>
  </si>
  <si>
    <t>23/jan</t>
  </si>
  <si>
    <t>25/jan</t>
  </si>
  <si>
    <t>26/jan</t>
  </si>
  <si>
    <t>27/jan</t>
  </si>
  <si>
    <t>Allan Carvalho</t>
  </si>
  <si>
    <t xml:space="preserve">Isnard Pimenta Junior </t>
  </si>
  <si>
    <t>Bruno Martins Villas</t>
  </si>
  <si>
    <t>Wolney Viegas Bolotari (Para a Fernanda)</t>
  </si>
  <si>
    <t>Patrícia Carolina Bispo de Oliveira</t>
  </si>
  <si>
    <t>Eliseu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</si>
</sst>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&quot;R$&quot;\ #,##0.00"/>
    <numFmt numFmtId="165" formatCode="###&quot;&quot;\.###&quot;&quot;\.###&quot;&quot;\-&quot;&quot;##"/>
    <numFmt numFmtId="166" formatCode="0##&quot;.&quot;###&quot;.&quot;###\-##"/>
    <numFmt numFmtId="167" formatCode="_-[$R$-416]\ * #,##0.00_-;\-[$R$-416]\ * #,##0.00_-;_-[$R$-416]\ * &quot;-&quot;??_-;_-@_-"/>
    <numFmt numFmtId="168" formatCode="dd/mm/yy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b/>
      <sz val="15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theme="3"/>
      <name val="Arial"/>
      <family val="2"/>
    </font>
    <font>
      <b/>
      <sz val="18"/>
      <color theme="0"/>
      <name val="Calibri"/>
      <family val="2"/>
      <scheme val="minor"/>
    </font>
    <font>
      <sz val="14"/>
      <name val="Arial"/>
      <family val="2"/>
    </font>
    <font>
      <sz val="11"/>
      <color theme="0"/>
      <name val="Arial"/>
      <family val="2"/>
    </font>
    <font>
      <sz val="8"/>
      <name val="Calibri"/>
      <family val="2"/>
      <scheme val="minor"/>
    </font>
    <font>
      <sz val="11"/>
      <color rgb="FF748B90"/>
      <name val="Arial"/>
      <family val="2"/>
    </font>
    <font>
      <b/>
      <sz val="18"/>
      <color theme="1" tint="4.9989318521683403E-2"/>
      <name val="Arial"/>
      <family val="2"/>
    </font>
    <font>
      <sz val="12"/>
      <color theme="1" tint="4.9989318521683403E-2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 tint="4.9989318521683403E-2"/>
      <name val="Arial"/>
      <family val="2"/>
    </font>
    <font>
      <sz val="11"/>
      <color rgb="FFFF0000"/>
      <name val="Arial"/>
      <family val="2"/>
    </font>
    <font>
      <u/>
      <sz val="11"/>
      <color theme="1"/>
      <name val="Calibri"/>
      <family val="2"/>
      <scheme val="minor"/>
    </font>
    <font>
      <u/>
      <sz val="11"/>
      <color theme="1"/>
      <name val="Arial"/>
      <family val="2"/>
    </font>
    <font>
      <u/>
      <sz val="14"/>
      <color theme="1"/>
      <name val="Arial"/>
      <family val="2"/>
    </font>
    <font>
      <sz val="16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8B7BA"/>
        <bgColor indexed="64"/>
      </patternFill>
    </fill>
    <fill>
      <patternFill patternType="solid">
        <fgColor rgb="FF5D7075"/>
        <bgColor indexed="64"/>
      </patternFill>
    </fill>
    <fill>
      <patternFill patternType="solid">
        <fgColor rgb="FF748B90"/>
        <bgColor indexed="64"/>
      </patternFill>
    </fill>
    <fill>
      <patternFill patternType="solid">
        <fgColor theme="4" tint="-0.249977111117893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6" fillId="0" borderId="14" applyNumberFormat="0" applyFill="0" applyAlignment="0" applyProtection="0"/>
    <xf numFmtId="0" fontId="7" fillId="2" borderId="15" applyNumberFormat="0" applyAlignment="0" applyProtection="0"/>
    <xf numFmtId="0" fontId="8" fillId="3" borderId="16" applyNumberFormat="0" applyAlignment="0" applyProtection="0"/>
    <xf numFmtId="44" fontId="18" fillId="0" borderId="0" applyFont="0" applyFill="0" applyBorder="0" applyAlignment="0" applyProtection="0"/>
  </cellStyleXfs>
  <cellXfs count="182">
    <xf numFmtId="0" fontId="0" fillId="0" borderId="0" xfId="0"/>
    <xf numFmtId="0" fontId="1" fillId="0" borderId="0" xfId="0" applyFont="1" applyAlignment="1">
      <alignment vertical="center"/>
    </xf>
    <xf numFmtId="0" fontId="9" fillId="0" borderId="19" xfId="1" applyFont="1" applyBorder="1" applyAlignment="1">
      <alignment vertical="center"/>
    </xf>
    <xf numFmtId="0" fontId="9" fillId="0" borderId="20" xfId="1" applyFont="1" applyBorder="1" applyAlignment="1">
      <alignment horizontal="left" vertical="center"/>
    </xf>
    <xf numFmtId="14" fontId="9" fillId="0" borderId="20" xfId="1" applyNumberFormat="1" applyFont="1" applyBorder="1" applyAlignment="1">
      <alignment horizontal="left" vertical="center"/>
    </xf>
    <xf numFmtId="164" fontId="9" fillId="0" borderId="20" xfId="1" applyNumberFormat="1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10" fillId="3" borderId="16" xfId="3" applyFont="1" applyAlignment="1">
      <alignment vertical="center"/>
    </xf>
    <xf numFmtId="0" fontId="10" fillId="3" borderId="16" xfId="3" applyFont="1" applyAlignment="1">
      <alignment horizontal="left" vertical="center"/>
    </xf>
    <xf numFmtId="0" fontId="7" fillId="2" borderId="15" xfId="2" applyAlignment="1">
      <alignment vertical="center"/>
    </xf>
    <xf numFmtId="0" fontId="7" fillId="2" borderId="15" xfId="2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1" fillId="0" borderId="1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4" borderId="6" xfId="0" applyFont="1" applyFill="1" applyBorder="1" applyAlignment="1">
      <alignment vertical="center"/>
    </xf>
    <xf numFmtId="0" fontId="1" fillId="4" borderId="23" xfId="0" applyFont="1" applyFill="1" applyBorder="1" applyAlignment="1">
      <alignment vertical="center"/>
    </xf>
    <xf numFmtId="0" fontId="1" fillId="4" borderId="0" xfId="0" applyFont="1" applyFill="1" applyAlignment="1">
      <alignment vertical="center"/>
    </xf>
    <xf numFmtId="0" fontId="1" fillId="0" borderId="24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" fillId="4" borderId="28" xfId="0" applyFont="1" applyFill="1" applyBorder="1" applyAlignment="1">
      <alignment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vertical="center"/>
    </xf>
    <xf numFmtId="0" fontId="1" fillId="6" borderId="23" xfId="0" applyFont="1" applyFill="1" applyBorder="1" applyAlignment="1">
      <alignment vertical="center"/>
    </xf>
    <xf numFmtId="0" fontId="1" fillId="6" borderId="23" xfId="0" applyFont="1" applyFill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33" xfId="0" applyFont="1" applyBorder="1" applyAlignment="1">
      <alignment vertical="center"/>
    </xf>
    <xf numFmtId="167" fontId="1" fillId="0" borderId="31" xfId="0" applyNumberFormat="1" applyFont="1" applyBorder="1" applyAlignment="1">
      <alignment vertical="center"/>
    </xf>
    <xf numFmtId="0" fontId="1" fillId="0" borderId="6" xfId="0" applyFont="1" applyBorder="1" applyAlignment="1">
      <alignment horizontal="right" vertical="center"/>
    </xf>
    <xf numFmtId="167" fontId="1" fillId="0" borderId="7" xfId="0" applyNumberFormat="1" applyFont="1" applyBorder="1" applyAlignment="1">
      <alignment vertical="center"/>
    </xf>
    <xf numFmtId="0" fontId="1" fillId="0" borderId="8" xfId="0" applyFont="1" applyBorder="1" applyAlignment="1">
      <alignment horizontal="right" vertical="center"/>
    </xf>
    <xf numFmtId="167" fontId="1" fillId="0" borderId="10" xfId="0" applyNumberFormat="1" applyFont="1" applyBorder="1" applyAlignment="1">
      <alignment vertical="center"/>
    </xf>
    <xf numFmtId="0" fontId="1" fillId="7" borderId="0" xfId="0" applyFont="1" applyFill="1" applyAlignment="1">
      <alignment vertical="center"/>
    </xf>
    <xf numFmtId="0" fontId="1" fillId="7" borderId="0" xfId="0" applyFont="1" applyFill="1" applyBorder="1" applyAlignment="1">
      <alignment vertical="center"/>
    </xf>
    <xf numFmtId="0" fontId="1" fillId="7" borderId="17" xfId="0" applyFont="1" applyFill="1" applyBorder="1" applyAlignment="1">
      <alignment vertical="center"/>
    </xf>
    <xf numFmtId="0" fontId="1" fillId="7" borderId="0" xfId="0" applyFont="1" applyFill="1" applyBorder="1" applyAlignment="1">
      <alignment horizontal="left" vertical="center"/>
    </xf>
    <xf numFmtId="164" fontId="1" fillId="7" borderId="0" xfId="0" applyNumberFormat="1" applyFont="1" applyFill="1" applyBorder="1" applyAlignment="1">
      <alignment horizontal="left" vertical="center"/>
    </xf>
    <xf numFmtId="165" fontId="1" fillId="7" borderId="0" xfId="0" applyNumberFormat="1" applyFont="1" applyFill="1" applyBorder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" fillId="7" borderId="0" xfId="0" applyFont="1" applyFill="1" applyAlignment="1">
      <alignment horizontal="center" vertical="center"/>
    </xf>
    <xf numFmtId="49" fontId="2" fillId="0" borderId="1" xfId="0" applyNumberFormat="1" applyFont="1" applyFill="1" applyBorder="1" applyAlignment="1">
      <alignment horizontal="left" vertical="center"/>
    </xf>
    <xf numFmtId="164" fontId="5" fillId="0" borderId="1" xfId="0" applyNumberFormat="1" applyFont="1" applyFill="1" applyBorder="1" applyAlignment="1">
      <alignment horizontal="left" vertical="center"/>
    </xf>
    <xf numFmtId="166" fontId="2" fillId="0" borderId="1" xfId="0" applyNumberFormat="1" applyFont="1" applyFill="1" applyBorder="1" applyAlignment="1">
      <alignment horizontal="left" vertical="center"/>
    </xf>
    <xf numFmtId="166" fontId="11" fillId="0" borderId="1" xfId="0" applyNumberFormat="1" applyFont="1" applyFill="1" applyBorder="1" applyAlignment="1">
      <alignment horizontal="left" vertical="center"/>
    </xf>
    <xf numFmtId="165" fontId="2" fillId="0" borderId="1" xfId="0" applyNumberFormat="1" applyFont="1" applyFill="1" applyBorder="1" applyAlignment="1">
      <alignment horizontal="left" vertical="center"/>
    </xf>
    <xf numFmtId="49" fontId="2" fillId="0" borderId="2" xfId="0" applyNumberFormat="1" applyFont="1" applyFill="1" applyBorder="1" applyAlignment="1">
      <alignment horizontal="left" vertical="center"/>
    </xf>
    <xf numFmtId="164" fontId="5" fillId="0" borderId="2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center" vertical="center"/>
    </xf>
    <xf numFmtId="0" fontId="15" fillId="8" borderId="11" xfId="0" applyFont="1" applyFill="1" applyBorder="1" applyAlignment="1">
      <alignment horizontal="left" vertical="center"/>
    </xf>
    <xf numFmtId="164" fontId="15" fillId="8" borderId="12" xfId="0" applyNumberFormat="1" applyFont="1" applyFill="1" applyBorder="1" applyAlignment="1">
      <alignment horizontal="left" vertical="center"/>
    </xf>
    <xf numFmtId="14" fontId="15" fillId="8" borderId="13" xfId="0" applyNumberFormat="1" applyFont="1" applyFill="1" applyBorder="1" applyAlignment="1">
      <alignment horizontal="left" vertical="center"/>
    </xf>
    <xf numFmtId="164" fontId="15" fillId="8" borderId="12" xfId="0" applyNumberFormat="1" applyFont="1" applyFill="1" applyBorder="1" applyAlignment="1">
      <alignment horizontal="center" vertical="center"/>
    </xf>
    <xf numFmtId="0" fontId="12" fillId="7" borderId="38" xfId="0" applyFont="1" applyFill="1" applyBorder="1" applyAlignment="1">
      <alignment horizontal="right" vertical="center"/>
    </xf>
    <xf numFmtId="164" fontId="12" fillId="7" borderId="35" xfId="0" applyNumberFormat="1" applyFont="1" applyFill="1" applyBorder="1" applyAlignment="1">
      <alignment horizontal="left" vertical="center"/>
    </xf>
    <xf numFmtId="164" fontId="2" fillId="0" borderId="1" xfId="0" applyNumberFormat="1" applyFont="1" applyFill="1" applyBorder="1" applyAlignment="1">
      <alignment horizontal="left" vertical="center"/>
    </xf>
    <xf numFmtId="0" fontId="2" fillId="0" borderId="1" xfId="0" applyNumberFormat="1" applyFont="1" applyFill="1" applyBorder="1" applyAlignment="1">
      <alignment horizontal="center" vertical="center"/>
    </xf>
    <xf numFmtId="164" fontId="2" fillId="0" borderId="2" xfId="0" applyNumberFormat="1" applyFont="1" applyFill="1" applyBorder="1" applyAlignment="1">
      <alignment horizontal="left" vertical="center"/>
    </xf>
    <xf numFmtId="0" fontId="15" fillId="8" borderId="13" xfId="0" applyFont="1" applyFill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left"/>
    </xf>
    <xf numFmtId="0" fontId="15" fillId="8" borderId="13" xfId="0" applyFont="1" applyFill="1" applyBorder="1" applyAlignment="1">
      <alignment horizontal="left" vertical="center"/>
    </xf>
    <xf numFmtId="0" fontId="15" fillId="8" borderId="11" xfId="0" applyFont="1" applyFill="1" applyBorder="1" applyAlignment="1" applyProtection="1">
      <alignment horizontal="left" vertical="center"/>
      <protection locked="0"/>
    </xf>
    <xf numFmtId="0" fontId="1" fillId="0" borderId="1" xfId="0" applyNumberFormat="1" applyFont="1" applyFill="1" applyBorder="1" applyAlignment="1">
      <alignment horizontal="center" vertical="center"/>
    </xf>
    <xf numFmtId="168" fontId="16" fillId="0" borderId="13" xfId="0" applyNumberFormat="1" applyFont="1" applyFill="1" applyBorder="1" applyAlignment="1">
      <alignment horizontal="left" vertical="center"/>
    </xf>
    <xf numFmtId="168" fontId="5" fillId="0" borderId="3" xfId="0" applyNumberFormat="1" applyFont="1" applyFill="1" applyBorder="1" applyAlignment="1">
      <alignment horizontal="left" vertical="center"/>
    </xf>
    <xf numFmtId="168" fontId="5" fillId="0" borderId="5" xfId="0" applyNumberFormat="1" applyFont="1" applyFill="1" applyBorder="1" applyAlignment="1">
      <alignment horizontal="left" vertical="center"/>
    </xf>
    <xf numFmtId="166" fontId="5" fillId="0" borderId="4" xfId="0" applyNumberFormat="1" applyFont="1" applyFill="1" applyBorder="1" applyAlignment="1">
      <alignment horizontal="left" vertical="center"/>
    </xf>
    <xf numFmtId="166" fontId="5" fillId="0" borderId="34" xfId="0" applyNumberFormat="1" applyFont="1" applyFill="1" applyBorder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9" fillId="8" borderId="39" xfId="0" applyFont="1" applyFill="1" applyBorder="1" applyAlignment="1">
      <alignment horizontal="left" vertical="center"/>
    </xf>
    <xf numFmtId="0" fontId="0" fillId="0" borderId="0" xfId="0" applyFill="1" applyAlignment="1">
      <alignment horizontal="left"/>
    </xf>
    <xf numFmtId="0" fontId="19" fillId="8" borderId="39" xfId="0" applyFont="1" applyFill="1" applyBorder="1" applyAlignment="1">
      <alignment horizontal="left"/>
    </xf>
    <xf numFmtId="14" fontId="14" fillId="7" borderId="0" xfId="0" applyNumberFormat="1" applyFont="1" applyFill="1" applyBorder="1" applyAlignment="1">
      <alignment vertical="center"/>
    </xf>
    <xf numFmtId="0" fontId="1" fillId="7" borderId="0" xfId="0" applyFont="1" applyFill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20" fillId="0" borderId="0" xfId="0" applyFont="1" applyBorder="1" applyAlignment="1">
      <alignment vertical="center"/>
    </xf>
    <xf numFmtId="0" fontId="20" fillId="0" borderId="0" xfId="0" applyFont="1" applyBorder="1" applyAlignment="1">
      <alignment horizontal="center" vertical="center"/>
    </xf>
    <xf numFmtId="14" fontId="20" fillId="0" borderId="0" xfId="0" applyNumberFormat="1" applyFont="1" applyBorder="1" applyAlignment="1">
      <alignment horizontal="center" vertical="center"/>
    </xf>
    <xf numFmtId="167" fontId="1" fillId="0" borderId="40" xfId="0" applyNumberFormat="1" applyFont="1" applyBorder="1" applyAlignment="1">
      <alignment vertical="center"/>
    </xf>
    <xf numFmtId="0" fontId="0" fillId="0" borderId="0" xfId="0" pivotButton="1"/>
    <xf numFmtId="44" fontId="0" fillId="0" borderId="0" xfId="4" applyFont="1" applyAlignment="1">
      <alignment vertical="center"/>
    </xf>
    <xf numFmtId="44" fontId="0" fillId="0" borderId="0" xfId="0" applyNumberFormat="1" applyAlignment="1">
      <alignment vertical="center"/>
    </xf>
    <xf numFmtId="0" fontId="1" fillId="0" borderId="0" xfId="0" pivotButton="1" applyFont="1" applyAlignment="1">
      <alignment vertical="center"/>
    </xf>
    <xf numFmtId="0" fontId="0" fillId="0" borderId="0" xfId="0" applyBorder="1" applyAlignment="1">
      <alignment vertical="center"/>
    </xf>
    <xf numFmtId="0" fontId="0" fillId="0" borderId="9" xfId="0" applyNumberFormat="1" applyBorder="1" applyAlignment="1">
      <alignment vertical="center"/>
    </xf>
    <xf numFmtId="0" fontId="0" fillId="0" borderId="10" xfId="0" applyNumberFormat="1" applyBorder="1" applyAlignment="1">
      <alignment vertical="center"/>
    </xf>
    <xf numFmtId="0" fontId="0" fillId="0" borderId="0" xfId="0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0" xfId="0" applyNumberFormat="1" applyBorder="1" applyAlignment="1">
      <alignment vertical="center"/>
    </xf>
    <xf numFmtId="0" fontId="0" fillId="0" borderId="18" xfId="0" applyNumberFormat="1" applyBorder="1" applyAlignment="1">
      <alignment vertical="center"/>
    </xf>
    <xf numFmtId="0" fontId="0" fillId="0" borderId="0" xfId="0" applyNumberFormat="1" applyBorder="1"/>
    <xf numFmtId="0" fontId="0" fillId="0" borderId="18" xfId="0" applyNumberFormat="1" applyBorder="1"/>
    <xf numFmtId="0" fontId="0" fillId="0" borderId="17" xfId="0" applyNumberFormat="1" applyBorder="1"/>
    <xf numFmtId="0" fontId="0" fillId="0" borderId="8" xfId="0" applyNumberFormat="1" applyBorder="1"/>
    <xf numFmtId="0" fontId="0" fillId="0" borderId="42" xfId="0" applyBorder="1"/>
    <xf numFmtId="0" fontId="0" fillId="0" borderId="10" xfId="0" applyBorder="1"/>
    <xf numFmtId="0" fontId="0" fillId="0" borderId="44" xfId="0" pivotButton="1" applyBorder="1"/>
    <xf numFmtId="0" fontId="0" fillId="0" borderId="35" xfId="0" pivotButton="1" applyBorder="1"/>
    <xf numFmtId="0" fontId="0" fillId="0" borderId="35" xfId="0" applyBorder="1"/>
    <xf numFmtId="0" fontId="1" fillId="0" borderId="0" xfId="0" applyFont="1" applyFill="1" applyBorder="1" applyAlignment="1">
      <alignment vertical="center"/>
    </xf>
    <xf numFmtId="0" fontId="1" fillId="7" borderId="0" xfId="0" applyFont="1" applyFill="1" applyAlignment="1" applyProtection="1">
      <alignment vertical="center"/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0" fontId="1" fillId="0" borderId="0" xfId="0" applyFont="1" applyFill="1" applyBorder="1" applyAlignment="1">
      <alignment horizontal="left" vertical="center"/>
    </xf>
    <xf numFmtId="0" fontId="1" fillId="0" borderId="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2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left"/>
    </xf>
    <xf numFmtId="168" fontId="0" fillId="0" borderId="0" xfId="0" applyNumberFormat="1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21" fillId="7" borderId="0" xfId="0" applyFont="1" applyFill="1" applyBorder="1"/>
    <xf numFmtId="0" fontId="22" fillId="7" borderId="0" xfId="0" applyFont="1" applyFill="1" applyAlignment="1">
      <alignment horizontal="left" vertical="center"/>
    </xf>
    <xf numFmtId="0" fontId="21" fillId="0" borderId="0" xfId="0" applyFont="1" applyAlignment="1">
      <alignment vertical="center"/>
    </xf>
    <xf numFmtId="49" fontId="23" fillId="0" borderId="1" xfId="0" applyNumberFormat="1" applyFont="1" applyFill="1" applyBorder="1" applyAlignment="1">
      <alignment horizontal="left" vertical="center"/>
    </xf>
    <xf numFmtId="0" fontId="0" fillId="0" borderId="44" xfId="0" applyBorder="1"/>
    <xf numFmtId="0" fontId="0" fillId="10" borderId="0" xfId="0" applyFill="1" applyBorder="1" applyAlignment="1">
      <alignment horizontal="left"/>
    </xf>
    <xf numFmtId="0" fontId="0" fillId="10" borderId="0" xfId="0" applyNumberFormat="1" applyFill="1" applyBorder="1"/>
    <xf numFmtId="0" fontId="0" fillId="10" borderId="17" xfId="0" applyFill="1" applyBorder="1"/>
    <xf numFmtId="0" fontId="0" fillId="10" borderId="18" xfId="0" applyNumberFormat="1" applyFill="1" applyBorder="1"/>
    <xf numFmtId="0" fontId="0" fillId="10" borderId="17" xfId="0" applyFill="1" applyBorder="1" applyAlignment="1">
      <alignment horizontal="left" vertical="center"/>
    </xf>
    <xf numFmtId="0" fontId="0" fillId="10" borderId="0" xfId="0" applyNumberFormat="1" applyFill="1" applyBorder="1" applyAlignment="1">
      <alignment vertical="center"/>
    </xf>
    <xf numFmtId="0" fontId="0" fillId="10" borderId="18" xfId="0" applyNumberFormat="1" applyFill="1" applyBorder="1" applyAlignment="1">
      <alignment vertical="center"/>
    </xf>
    <xf numFmtId="0" fontId="0" fillId="10" borderId="7" xfId="0" applyFill="1" applyBorder="1" applyAlignment="1">
      <alignment vertical="center"/>
    </xf>
    <xf numFmtId="0" fontId="1" fillId="10" borderId="18" xfId="0" applyFont="1" applyFill="1" applyBorder="1" applyAlignment="1">
      <alignment vertical="center"/>
    </xf>
    <xf numFmtId="0" fontId="0" fillId="10" borderId="18" xfId="0" applyFill="1" applyBorder="1"/>
    <xf numFmtId="0" fontId="0" fillId="10" borderId="17" xfId="0" applyFill="1" applyBorder="1" applyAlignment="1">
      <alignment vertical="center"/>
    </xf>
    <xf numFmtId="0" fontId="0" fillId="10" borderId="17" xfId="0" applyFill="1" applyBorder="1" applyAlignment="1">
      <alignment horizontal="left"/>
    </xf>
    <xf numFmtId="0" fontId="24" fillId="10" borderId="7" xfId="0" applyFont="1" applyFill="1" applyBorder="1" applyAlignment="1">
      <alignment vertical="top"/>
    </xf>
    <xf numFmtId="0" fontId="0" fillId="0" borderId="7" xfId="0" applyBorder="1"/>
    <xf numFmtId="0" fontId="0" fillId="0" borderId="41" xfId="0" applyNumberFormat="1" applyBorder="1"/>
    <xf numFmtId="0" fontId="0" fillId="0" borderId="7" xfId="0" applyNumberFormat="1" applyBorder="1"/>
    <xf numFmtId="0" fontId="0" fillId="0" borderId="37" xfId="0" pivotButton="1" applyBorder="1"/>
    <xf numFmtId="0" fontId="0" fillId="0" borderId="37" xfId="0" applyBorder="1"/>
    <xf numFmtId="0" fontId="0" fillId="0" borderId="44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0" xfId="0" applyAlignment="1">
      <alignment horizontal="right" vertical="center"/>
    </xf>
    <xf numFmtId="167" fontId="0" fillId="0" borderId="0" xfId="0" applyNumberFormat="1" applyAlignment="1">
      <alignment horizontal="left" vertical="center"/>
    </xf>
    <xf numFmtId="0" fontId="0" fillId="0" borderId="6" xfId="0" applyNumberFormat="1" applyBorder="1"/>
    <xf numFmtId="0" fontId="0" fillId="0" borderId="38" xfId="0" applyBorder="1"/>
    <xf numFmtId="0" fontId="0" fillId="0" borderId="6" xfId="0" applyNumberFormat="1" applyBorder="1" applyAlignment="1">
      <alignment vertical="center"/>
    </xf>
    <xf numFmtId="0" fontId="0" fillId="0" borderId="41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0" fontId="0" fillId="0" borderId="17" xfId="0" applyNumberFormat="1" applyBorder="1" applyAlignment="1">
      <alignment vertical="center"/>
    </xf>
    <xf numFmtId="0" fontId="0" fillId="0" borderId="8" xfId="0" applyNumberFormat="1" applyBorder="1" applyAlignment="1">
      <alignment vertical="center"/>
    </xf>
    <xf numFmtId="0" fontId="0" fillId="0" borderId="44" xfId="0" pivotButton="1" applyBorder="1" applyAlignment="1"/>
    <xf numFmtId="0" fontId="0" fillId="0" borderId="42" xfId="0" applyBorder="1" applyAlignment="1"/>
    <xf numFmtId="0" fontId="0" fillId="0" borderId="35" xfId="0" pivotButton="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44" xfId="0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8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6" xfId="0" applyBorder="1"/>
    <xf numFmtId="0" fontId="10" fillId="3" borderId="16" xfId="3" applyFont="1" applyAlignment="1">
      <alignment horizontal="center" vertical="center"/>
    </xf>
    <xf numFmtId="0" fontId="7" fillId="2" borderId="21" xfId="2" applyBorder="1" applyAlignment="1">
      <alignment horizontal="center" vertical="center"/>
    </xf>
    <xf numFmtId="0" fontId="7" fillId="2" borderId="22" xfId="2" applyBorder="1" applyAlignment="1">
      <alignment horizontal="center" vertical="center"/>
    </xf>
    <xf numFmtId="0" fontId="24" fillId="10" borderId="38" xfId="0" applyFont="1" applyFill="1" applyBorder="1" applyAlignment="1">
      <alignment horizontal="center" vertical="top"/>
    </xf>
    <xf numFmtId="0" fontId="24" fillId="10" borderId="36" xfId="0" applyFont="1" applyFill="1" applyBorder="1" applyAlignment="1">
      <alignment horizontal="center" vertical="top"/>
    </xf>
    <xf numFmtId="0" fontId="1" fillId="0" borderId="23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44" fontId="1" fillId="9" borderId="38" xfId="4" applyFont="1" applyFill="1" applyBorder="1" applyAlignment="1">
      <alignment horizontal="center" vertical="center"/>
    </xf>
    <xf numFmtId="44" fontId="1" fillId="9" borderId="37" xfId="4" applyFont="1" applyFill="1" applyBorder="1" applyAlignment="1">
      <alignment horizontal="center" vertical="center"/>
    </xf>
    <xf numFmtId="0" fontId="1" fillId="9" borderId="38" xfId="0" applyFont="1" applyFill="1" applyBorder="1" applyAlignment="1">
      <alignment horizontal="left" vertical="center"/>
    </xf>
    <xf numFmtId="0" fontId="1" fillId="9" borderId="36" xfId="0" applyFont="1" applyFill="1" applyBorder="1" applyAlignment="1">
      <alignment horizontal="left" vertical="center"/>
    </xf>
    <xf numFmtId="0" fontId="1" fillId="9" borderId="37" xfId="0" applyFont="1" applyFill="1" applyBorder="1" applyAlignment="1">
      <alignment horizontal="left" vertical="center"/>
    </xf>
    <xf numFmtId="166" fontId="1" fillId="9" borderId="38" xfId="0" applyNumberFormat="1" applyFont="1" applyFill="1" applyBorder="1" applyAlignment="1">
      <alignment horizontal="left" vertical="center"/>
    </xf>
    <xf numFmtId="166" fontId="1" fillId="9" borderId="37" xfId="0" applyNumberFormat="1" applyFont="1" applyFill="1" applyBorder="1" applyAlignment="1">
      <alignment horizontal="left" vertical="center"/>
    </xf>
    <xf numFmtId="0" fontId="1" fillId="7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</cellXfs>
  <cellStyles count="5">
    <cellStyle name="Célula de Verificação" xfId="3" builtinId="23"/>
    <cellStyle name="Entrada" xfId="2" builtinId="20"/>
    <cellStyle name="Moeda" xfId="4" builtinId="4"/>
    <cellStyle name="Normal" xfId="0" builtinId="0"/>
    <cellStyle name="Título 1" xfId="1" builtinId="16"/>
  </cellStyles>
  <dxfs count="125">
    <dxf>
      <numFmt numFmtId="0" formatCode="General"/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dd/mm/yy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4" formatCode="&quot;R$&quot;\ #,##0.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6" formatCode="0##&quot;.&quot;###&quot;.&quot;###\-##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 tint="4.9989318521683403E-2"/>
        <name val="Arial"/>
        <family val="2"/>
        <scheme val="none"/>
      </font>
      <fill>
        <patternFill patternType="solid">
          <fgColor indexed="64"/>
          <bgColor rgb="FF5D7075"/>
        </patternFill>
      </fill>
      <alignment horizontal="left" textRotation="0" wrapText="0" indent="0" justifyLastLine="0" shrinkToFit="0" readingOrder="0"/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scheme val="none"/>
      </font>
      <numFmt numFmtId="168" formatCode="dd/mm/yy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&quot;R$&quot;\ #,##0.00"/>
      <fill>
        <patternFill patternType="none">
          <fgColor theme="0" tint="-0.14999847407452621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30" formatCode="@"/>
      <fill>
        <patternFill patternType="none">
          <fgColor theme="0" tint="-0.14999847407452621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30" formatCode="@"/>
      <fill>
        <patternFill patternType="none">
          <fgColor theme="0" tint="-0.14999847407452621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30" formatCode="@"/>
      <fill>
        <patternFill patternType="none">
          <fgColor theme="0" tint="-0.14999847407452621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6" formatCode="0##&quot;.&quot;###&quot;.&quot;###\-##"/>
      <fill>
        <patternFill patternType="none">
          <fgColor theme="0" tint="-0.14999847407452621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 tint="4.9989318521683403E-2"/>
        <name val="Arial"/>
        <family val="2"/>
        <scheme val="none"/>
      </font>
      <fill>
        <patternFill patternType="solid">
          <fgColor indexed="64"/>
          <bgColor rgb="FF5D7075"/>
        </patternFill>
      </fill>
      <alignment horizontal="left" vertical="center" textRotation="0" wrapText="0" indent="0" justifyLastLine="0" shrinkToFit="0" readingOrder="0"/>
    </dxf>
    <dxf>
      <numFmt numFmtId="167" formatCode="_-[$R$-416]\ * #,##0.00_-;\-[$R$-416]\ * #,##0.00_-;_-[$R$-416]\ * &quot;-&quot;??_-;_-@_-"/>
      <alignment horizontal="lef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67" formatCode="_-[$R$-416]\ * #,##0.00_-;\-[$R$-416]\ * #,##0.00_-;_-[$R$-416]\ * &quot;-&quot;??_-;_-@_-"/>
      <alignment horizontal="lef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horizontal style="thin">
          <color theme="1"/>
        </horizontal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border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</dxf>
    <dxf>
      <font>
        <b/>
        <i val="0"/>
        <color theme="1"/>
      </font>
    </dxf>
  </dxfs>
  <tableStyles count="3" defaultTableStyle="TableStyleMedium2" defaultPivotStyle="PivotStyleLight16">
    <tableStyle name="Estilo de Tabela 1" pivot="0" count="1" xr9:uid="{27799B07-802A-4D75-8EC3-DC325186CD09}">
      <tableStyleElement type="headerRow" dxfId="124"/>
    </tableStyle>
    <tableStyle name="Estilo de Tabela 2" pivot="0" count="4" xr9:uid="{F4E6BB30-00D2-4ED0-9E38-45D0B0BE220E}">
      <tableStyleElement type="wholeTable" dxfId="123"/>
      <tableStyleElement type="headerRow" dxfId="122"/>
      <tableStyleElement type="totalRow" dxfId="121"/>
      <tableStyleElement type="firstColumn" dxfId="120"/>
    </tableStyle>
    <tableStyle name="TableStyleMedium1 2" pivot="0" count="7" xr9:uid="{6671A930-7D85-49F5-B9CA-9C2FA5CD8635}">
      <tableStyleElement type="wholeTable" dxfId="119"/>
      <tableStyleElement type="headerRow" dxfId="118"/>
      <tableStyleElement type="totalRow" dxfId="117"/>
      <tableStyleElement type="firstColumn" dxfId="116"/>
      <tableStyleElement type="lastColumn" dxfId="115"/>
      <tableStyleElement type="firstRowStripe" dxfId="114"/>
      <tableStyleElement type="firstColumnStripe" dxfId="113"/>
    </tableStyle>
  </tableStyles>
  <colors>
    <mruColors>
      <color rgb="FFA8B7BA"/>
      <color rgb="FF748B90"/>
      <color rgb="FF5D7075"/>
      <color rgb="FF38D03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Movimentação(CORRIGIDO) - 2021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Cálculos!$F$49:$F$60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Cálculos!$G$49:$G$60</c:f>
              <c:numCache>
                <c:formatCode>_-[$R$-416]\ * #,##0.00_-;\-[$R$-416]\ * #,##0.00_-;_-[$R$-416]\ * "-"??_-;_-@_-</c:formatCode>
                <c:ptCount val="12"/>
                <c:pt idx="0">
                  <c:v>41858.410000000003</c:v>
                </c:pt>
                <c:pt idx="1">
                  <c:v>15550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AC-4EB7-B89D-B2834089D12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89666160"/>
        <c:axId val="389665176"/>
      </c:barChart>
      <c:catAx>
        <c:axId val="389666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9665176"/>
        <c:crosses val="autoZero"/>
        <c:auto val="1"/>
        <c:lblAlgn val="ctr"/>
        <c:lblOffset val="100"/>
        <c:noMultiLvlLbl val="0"/>
      </c:catAx>
      <c:valAx>
        <c:axId val="389665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2"/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966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Tipos de Pagamentos</a:t>
            </a:r>
          </a:p>
        </c:rich>
      </c:tx>
      <c:layout>
        <c:manualLayout>
          <c:xMode val="edge"/>
          <c:yMode val="edge"/>
          <c:x val="0.2415278991288364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780-4EE4-8E44-4DBCE6DF6E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780-4EE4-8E44-4DBCE6DF6E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Cálculos!$C$2:$C$3</c:f>
              <c:strCache>
                <c:ptCount val="2"/>
                <c:pt idx="0">
                  <c:v>Cartão/TED</c:v>
                </c:pt>
                <c:pt idx="1">
                  <c:v>Dinheiro</c:v>
                </c:pt>
              </c:strCache>
            </c:strRef>
          </c:cat>
          <c:val>
            <c:numRef>
              <c:f>Cálculos!$B$2:$B$3</c:f>
              <c:numCache>
                <c:formatCode>General</c:formatCode>
                <c:ptCount val="2"/>
                <c:pt idx="0">
                  <c:v>158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80-4EE4-8E44-4DBCE6DF6E6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48212341580027"/>
          <c:y val="0.24548155438903474"/>
          <c:w val="0.6920199602038225"/>
          <c:h val="0.5929487459900846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6BC-42DA-96E4-9E4084DF7C4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6BC-42DA-96E4-9E4084DF7C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Cálculos!$C$5:$C$6</c:f>
              <c:strCache>
                <c:ptCount val="2"/>
                <c:pt idx="0">
                  <c:v>Pagamento tattoo</c:v>
                </c:pt>
                <c:pt idx="1">
                  <c:v>Sinal</c:v>
                </c:pt>
              </c:strCache>
            </c:strRef>
          </c:cat>
          <c:val>
            <c:numRef>
              <c:f>Cálculos!$B$5:$B$6</c:f>
              <c:numCache>
                <c:formatCode>General</c:formatCode>
                <c:ptCount val="2"/>
                <c:pt idx="0">
                  <c:v>120</c:v>
                </c:pt>
                <c:pt idx="1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BC-42DA-96E4-9E4084DF7C4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370739215912343"/>
          <c:y val="6.0763342082239678E-2"/>
          <c:w val="0.6070350826661991"/>
          <c:h val="8.27551764362788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Movimentação(CORRIGIDO) - 2020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Total do mês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Cálculos!$C$9:$C$20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Cálculos!$J$13:$J$24</c:f>
              <c:numCache>
                <c:formatCode>_-[$R$-416]\ * #,##0.00_-;\-[$R$-416]\ * #,##0.00_-;_-[$R$-416]\ * "-"??_-;_-@_-</c:formatCode>
                <c:ptCount val="12"/>
                <c:pt idx="0">
                  <c:v>0</c:v>
                </c:pt>
                <c:pt idx="1">
                  <c:v>12486.99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34744.5</c:v>
                </c:pt>
                <c:pt idx="9">
                  <c:v>27060</c:v>
                </c:pt>
                <c:pt idx="10">
                  <c:v>58339.22</c:v>
                </c:pt>
                <c:pt idx="11">
                  <c:v>27050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1-4317-8226-287CB3CE3F7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89666160"/>
        <c:axId val="389665176"/>
      </c:barChart>
      <c:catAx>
        <c:axId val="389666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9665176"/>
        <c:crosses val="autoZero"/>
        <c:auto val="1"/>
        <c:lblAlgn val="ctr"/>
        <c:lblOffset val="100"/>
        <c:noMultiLvlLbl val="0"/>
      </c:catAx>
      <c:valAx>
        <c:axId val="389665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2"/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9666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3365535</xdr:colOff>
      <xdr:row>0</xdr:row>
      <xdr:rowOff>166149</xdr:rowOff>
    </xdr:from>
    <xdr:to>
      <xdr:col>0</xdr:col>
      <xdr:colOff>8028975</xdr:colOff>
      <xdr:row>0</xdr:row>
      <xdr:rowOff>1932845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1F6C343-3C90-44FB-B87A-9E91669F0E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32" t="13946" r="5556" b="19932"/>
        <a:stretch/>
      </xdr:blipFill>
      <xdr:spPr>
        <a:xfrm>
          <a:off x="3365535" y="166149"/>
          <a:ext cx="4663440" cy="1766696"/>
        </a:xfrm>
        <a:prstGeom prst="rect">
          <a:avLst/>
        </a:prstGeom>
      </xdr:spPr>
    </xdr:pic>
    <xdr:clientData/>
  </xdr:twoCellAnchor>
  <xdr:twoCellAnchor>
    <xdr:from>
      <xdr:col>0</xdr:col>
      <xdr:colOff>1043620</xdr:colOff>
      <xdr:row>0</xdr:row>
      <xdr:rowOff>2319623</xdr:rowOff>
    </xdr:from>
    <xdr:to>
      <xdr:col>0</xdr:col>
      <xdr:colOff>3329620</xdr:colOff>
      <xdr:row>0</xdr:row>
      <xdr:rowOff>3355943</xdr:rowOff>
    </xdr:to>
    <xdr:sp macro="[0]!IrParaRegistro" textlink="">
      <xdr:nvSpPr>
        <xdr:cNvPr id="3" name="Fluxograma: Documento 2">
          <a:extLst>
            <a:ext uri="{FF2B5EF4-FFF2-40B4-BE49-F238E27FC236}">
              <a16:creationId xmlns:a16="http://schemas.microsoft.com/office/drawing/2014/main" id="{3C77E672-70A5-420A-A389-A0368DFA4F3B}"/>
            </a:ext>
          </a:extLst>
        </xdr:cNvPr>
        <xdr:cNvSpPr/>
      </xdr:nvSpPr>
      <xdr:spPr>
        <a:xfrm>
          <a:off x="1043620" y="2319623"/>
          <a:ext cx="2286000" cy="1036320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4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Registro</a:t>
          </a:r>
          <a:endParaRPr lang="pt-BR" sz="1100">
            <a:ln>
              <a:solidFill>
                <a:schemeClr val="tx2"/>
              </a:solidFill>
            </a:ln>
            <a:solidFill>
              <a:schemeClr val="tx1">
                <a:lumMod val="75000"/>
                <a:lumOff val="25000"/>
              </a:schemeClr>
            </a:solidFill>
            <a:effectLst/>
            <a:latin typeface="Forte" panose="03060902040502070203" pitchFamily="66" charset="0"/>
          </a:endParaRPr>
        </a:p>
      </xdr:txBody>
    </xdr:sp>
    <xdr:clientData/>
  </xdr:twoCellAnchor>
  <xdr:twoCellAnchor>
    <xdr:from>
      <xdr:col>0</xdr:col>
      <xdr:colOff>7916168</xdr:colOff>
      <xdr:row>0</xdr:row>
      <xdr:rowOff>2318238</xdr:rowOff>
    </xdr:from>
    <xdr:to>
      <xdr:col>0</xdr:col>
      <xdr:colOff>10202168</xdr:colOff>
      <xdr:row>0</xdr:row>
      <xdr:rowOff>3354558</xdr:rowOff>
    </xdr:to>
    <xdr:sp macro="[0]!IrParaDados" textlink="">
      <xdr:nvSpPr>
        <xdr:cNvPr id="6" name="Fluxograma: Documento 5">
          <a:extLst>
            <a:ext uri="{FF2B5EF4-FFF2-40B4-BE49-F238E27FC236}">
              <a16:creationId xmlns:a16="http://schemas.microsoft.com/office/drawing/2014/main" id="{4D6C9D9F-DB27-4430-83B9-9FDC261B1EAC}"/>
            </a:ext>
          </a:extLst>
        </xdr:cNvPr>
        <xdr:cNvSpPr/>
      </xdr:nvSpPr>
      <xdr:spPr>
        <a:xfrm>
          <a:off x="7916168" y="2318238"/>
          <a:ext cx="2286000" cy="1036320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4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Dados</a:t>
          </a:r>
          <a:endParaRPr lang="pt-BR" sz="1100">
            <a:ln>
              <a:solidFill>
                <a:schemeClr val="tx2"/>
              </a:solidFill>
            </a:ln>
            <a:solidFill>
              <a:schemeClr val="tx1">
                <a:lumMod val="75000"/>
                <a:lumOff val="25000"/>
              </a:schemeClr>
            </a:solidFill>
            <a:effectLst/>
            <a:latin typeface="Forte" panose="03060902040502070203" pitchFamily="66" charset="0"/>
          </a:endParaRPr>
        </a:p>
      </xdr:txBody>
    </xdr:sp>
    <xdr:clientData/>
  </xdr:twoCellAnchor>
  <xdr:twoCellAnchor>
    <xdr:from>
      <xdr:col>0</xdr:col>
      <xdr:colOff>5630167</xdr:colOff>
      <xdr:row>0</xdr:row>
      <xdr:rowOff>2318930</xdr:rowOff>
    </xdr:from>
    <xdr:to>
      <xdr:col>0</xdr:col>
      <xdr:colOff>7916167</xdr:colOff>
      <xdr:row>0</xdr:row>
      <xdr:rowOff>3355250</xdr:rowOff>
    </xdr:to>
    <xdr:sp macro="[0]!IrParaSaida" textlink="">
      <xdr:nvSpPr>
        <xdr:cNvPr id="7" name="Fluxograma: Documento 6">
          <a:extLst>
            <a:ext uri="{FF2B5EF4-FFF2-40B4-BE49-F238E27FC236}">
              <a16:creationId xmlns:a16="http://schemas.microsoft.com/office/drawing/2014/main" id="{F6EC8246-6B7B-45E4-851B-68CE913A8DC0}"/>
            </a:ext>
          </a:extLst>
        </xdr:cNvPr>
        <xdr:cNvSpPr/>
      </xdr:nvSpPr>
      <xdr:spPr>
        <a:xfrm>
          <a:off x="5630167" y="2318930"/>
          <a:ext cx="2286000" cy="1036320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4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Saída</a:t>
          </a:r>
        </a:p>
      </xdr:txBody>
    </xdr:sp>
    <xdr:clientData/>
  </xdr:twoCellAnchor>
  <xdr:twoCellAnchor>
    <xdr:from>
      <xdr:col>0</xdr:col>
      <xdr:colOff>3337240</xdr:colOff>
      <xdr:row>0</xdr:row>
      <xdr:rowOff>2318932</xdr:rowOff>
    </xdr:from>
    <xdr:to>
      <xdr:col>0</xdr:col>
      <xdr:colOff>5623240</xdr:colOff>
      <xdr:row>0</xdr:row>
      <xdr:rowOff>3355252</xdr:rowOff>
    </xdr:to>
    <xdr:sp macro="[0]!IrParaEntrada" textlink="">
      <xdr:nvSpPr>
        <xdr:cNvPr id="8" name="Fluxograma: Documento 7">
          <a:extLst>
            <a:ext uri="{FF2B5EF4-FFF2-40B4-BE49-F238E27FC236}">
              <a16:creationId xmlns:a16="http://schemas.microsoft.com/office/drawing/2014/main" id="{507AAC5D-3C91-4CAD-8EA1-225D00F1DD19}"/>
            </a:ext>
          </a:extLst>
        </xdr:cNvPr>
        <xdr:cNvSpPr/>
      </xdr:nvSpPr>
      <xdr:spPr>
        <a:xfrm>
          <a:off x="3337240" y="2318932"/>
          <a:ext cx="2286000" cy="1036320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4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Entrada</a:t>
          </a:r>
          <a:endParaRPr lang="pt-BR" sz="1100">
            <a:ln>
              <a:solidFill>
                <a:schemeClr val="tx2"/>
              </a:solidFill>
            </a:ln>
            <a:solidFill>
              <a:schemeClr val="tx1">
                <a:lumMod val="75000"/>
                <a:lumOff val="25000"/>
              </a:schemeClr>
            </a:solidFill>
            <a:effectLst/>
            <a:latin typeface="Forte" panose="03060902040502070203" pitchFamily="66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873760</xdr:colOff>
      <xdr:row>2</xdr:row>
      <xdr:rowOff>0</xdr:rowOff>
    </xdr:to>
    <xdr:sp macro="" textlink="">
      <xdr:nvSpPr>
        <xdr:cNvPr id="6" name="Fluxograma: Documento 5">
          <a:extLst>
            <a:ext uri="{FF2B5EF4-FFF2-40B4-BE49-F238E27FC236}">
              <a16:creationId xmlns:a16="http://schemas.microsoft.com/office/drawing/2014/main" id="{BDDE3F48-D916-4925-934B-9C3A9A42E3BC}"/>
            </a:ext>
          </a:extLst>
        </xdr:cNvPr>
        <xdr:cNvSpPr/>
      </xdr:nvSpPr>
      <xdr:spPr>
        <a:xfrm>
          <a:off x="0" y="0"/>
          <a:ext cx="1324864" cy="573024"/>
        </a:xfrm>
        <a:prstGeom prst="flowChartDocument">
          <a:avLst/>
        </a:prstGeom>
        <a:solidFill>
          <a:srgbClr val="748B9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Registro</a:t>
          </a:r>
        </a:p>
      </xdr:txBody>
    </xdr:sp>
    <xdr:clientData/>
  </xdr:twoCellAnchor>
  <xdr:twoCellAnchor>
    <xdr:from>
      <xdr:col>5</xdr:col>
      <xdr:colOff>225552</xdr:colOff>
      <xdr:row>4</xdr:row>
      <xdr:rowOff>149352</xdr:rowOff>
    </xdr:from>
    <xdr:to>
      <xdr:col>7</xdr:col>
      <xdr:colOff>1071372</xdr:colOff>
      <xdr:row>7</xdr:row>
      <xdr:rowOff>169672</xdr:rowOff>
    </xdr:to>
    <xdr:sp macro="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62656" y="1011936"/>
          <a:ext cx="2455164" cy="706120"/>
        </a:xfrm>
        <a:prstGeom prst="snip2DiagRect">
          <a:avLst/>
        </a:prstGeom>
        <a:solidFill>
          <a:srgbClr val="748B90"/>
        </a:solidFill>
        <a:ln>
          <a:solidFill>
            <a:srgbClr val="A8B7BA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>
              <a:ln>
                <a:noFill/>
              </a:ln>
              <a:solidFill>
                <a:srgbClr val="5D7075"/>
              </a:solidFill>
              <a:latin typeface="Imprint MT Shadow" panose="04020605060303030202" pitchFamily="82" charset="0"/>
              <a:ea typeface="Yu Mincho Demibold" panose="02020600000000000000" pitchFamily="18" charset="-128"/>
              <a:cs typeface="Arial" panose="020B0604020202020204" pitchFamily="34" charset="0"/>
            </a:rPr>
            <a:t>Entrada = Ctrl+Shift+E</a:t>
          </a:r>
          <a:br>
            <a:rPr lang="pt-BR" sz="1600">
              <a:ln>
                <a:noFill/>
              </a:ln>
              <a:solidFill>
                <a:srgbClr val="5D7075"/>
              </a:solidFill>
              <a:latin typeface="Imprint MT Shadow" panose="04020605060303030202" pitchFamily="82" charset="0"/>
              <a:ea typeface="Yu Mincho Demibold" panose="02020600000000000000" pitchFamily="18" charset="-128"/>
              <a:cs typeface="Arial" panose="020B0604020202020204" pitchFamily="34" charset="0"/>
            </a:rPr>
          </a:br>
          <a:r>
            <a:rPr lang="pt-BR" sz="1600">
              <a:ln>
                <a:noFill/>
              </a:ln>
              <a:solidFill>
                <a:srgbClr val="5D7075"/>
              </a:solidFill>
              <a:latin typeface="Imprint MT Shadow" panose="04020605060303030202" pitchFamily="82" charset="0"/>
              <a:ea typeface="Yu Mincho Demibold" panose="02020600000000000000" pitchFamily="18" charset="-128"/>
              <a:cs typeface="Arial" panose="020B0604020202020204" pitchFamily="34" charset="0"/>
            </a:rPr>
            <a:t>Saída = Ctrl+Shift+S</a:t>
          </a:r>
        </a:p>
      </xdr:txBody>
    </xdr:sp>
    <xdr:clientData/>
  </xdr:twoCellAnchor>
  <xdr:twoCellAnchor>
    <xdr:from>
      <xdr:col>2</xdr:col>
      <xdr:colOff>873760</xdr:colOff>
      <xdr:row>0</xdr:row>
      <xdr:rowOff>0</xdr:rowOff>
    </xdr:from>
    <xdr:to>
      <xdr:col>4</xdr:col>
      <xdr:colOff>538480</xdr:colOff>
      <xdr:row>2</xdr:row>
      <xdr:rowOff>0</xdr:rowOff>
    </xdr:to>
    <xdr:sp macro="[0]!IrParaEntrada" textlink="">
      <xdr:nvSpPr>
        <xdr:cNvPr id="8" name="Fluxograma: Documento 7">
          <a:extLst>
            <a:ext uri="{FF2B5EF4-FFF2-40B4-BE49-F238E27FC236}">
              <a16:creationId xmlns:a16="http://schemas.microsoft.com/office/drawing/2014/main" id="{D4A8724C-685C-4EEC-9589-92041FE5F4FC}"/>
            </a:ext>
          </a:extLst>
        </xdr:cNvPr>
        <xdr:cNvSpPr/>
      </xdr:nvSpPr>
      <xdr:spPr>
        <a:xfrm>
          <a:off x="1325880" y="0"/>
          <a:ext cx="1325880" cy="574040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Entrada</a:t>
          </a:r>
        </a:p>
      </xdr:txBody>
    </xdr:sp>
    <xdr:clientData/>
  </xdr:twoCellAnchor>
  <xdr:twoCellAnchor>
    <xdr:from>
      <xdr:col>4</xdr:col>
      <xdr:colOff>538480</xdr:colOff>
      <xdr:row>0</xdr:row>
      <xdr:rowOff>0</xdr:rowOff>
    </xdr:from>
    <xdr:to>
      <xdr:col>6</xdr:col>
      <xdr:colOff>254000</xdr:colOff>
      <xdr:row>2</xdr:row>
      <xdr:rowOff>0</xdr:rowOff>
    </xdr:to>
    <xdr:sp macro="[0]!IrParaSaida" textlink="">
      <xdr:nvSpPr>
        <xdr:cNvPr id="9" name="Fluxograma: Documento 8">
          <a:extLst>
            <a:ext uri="{FF2B5EF4-FFF2-40B4-BE49-F238E27FC236}">
              <a16:creationId xmlns:a16="http://schemas.microsoft.com/office/drawing/2014/main" id="{A16F26EA-6917-4AA7-AE55-B78D4F17082F}"/>
            </a:ext>
          </a:extLst>
        </xdr:cNvPr>
        <xdr:cNvSpPr/>
      </xdr:nvSpPr>
      <xdr:spPr>
        <a:xfrm>
          <a:off x="2651760" y="0"/>
          <a:ext cx="1325880" cy="574040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Saída</a:t>
          </a:r>
        </a:p>
      </xdr:txBody>
    </xdr:sp>
    <xdr:clientData/>
  </xdr:twoCellAnchor>
  <xdr:twoCellAnchor>
    <xdr:from>
      <xdr:col>6</xdr:col>
      <xdr:colOff>254000</xdr:colOff>
      <xdr:row>1</xdr:row>
      <xdr:rowOff>10160</xdr:rowOff>
    </xdr:from>
    <xdr:to>
      <xdr:col>7</xdr:col>
      <xdr:colOff>955040</xdr:colOff>
      <xdr:row>2</xdr:row>
      <xdr:rowOff>0</xdr:rowOff>
    </xdr:to>
    <xdr:sp macro="[0]!IrParaDados" textlink="">
      <xdr:nvSpPr>
        <xdr:cNvPr id="10" name="Fluxograma: Documento 9">
          <a:extLst>
            <a:ext uri="{FF2B5EF4-FFF2-40B4-BE49-F238E27FC236}">
              <a16:creationId xmlns:a16="http://schemas.microsoft.com/office/drawing/2014/main" id="{69008081-3DF8-4051-B97D-7FB5F2AFDB64}"/>
            </a:ext>
          </a:extLst>
        </xdr:cNvPr>
        <xdr:cNvSpPr/>
      </xdr:nvSpPr>
      <xdr:spPr>
        <a:xfrm>
          <a:off x="3977640" y="10160"/>
          <a:ext cx="1325880" cy="574040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Dados</a:t>
          </a:r>
        </a:p>
        <a:p>
          <a:pPr algn="ctr"/>
          <a:endParaRPr lang="pt-BR" sz="2400">
            <a:ln>
              <a:solidFill>
                <a:schemeClr val="tx2"/>
              </a:solidFill>
            </a:ln>
            <a:solidFill>
              <a:schemeClr val="tx1">
                <a:lumMod val="75000"/>
                <a:lumOff val="25000"/>
              </a:schemeClr>
            </a:solidFill>
            <a:effectLst/>
            <a:latin typeface="Forte" panose="03060902040502070203" pitchFamily="66" charset="0"/>
          </a:endParaRPr>
        </a:p>
      </xdr:txBody>
    </xdr:sp>
    <xdr:clientData/>
  </xdr:twoCellAnchor>
  <xdr:twoCellAnchor>
    <xdr:from>
      <xdr:col>0</xdr:col>
      <xdr:colOff>0</xdr:colOff>
      <xdr:row>2</xdr:row>
      <xdr:rowOff>59944</xdr:rowOff>
    </xdr:from>
    <xdr:to>
      <xdr:col>3</xdr:col>
      <xdr:colOff>0</xdr:colOff>
      <xdr:row>4</xdr:row>
      <xdr:rowOff>2032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705881C-424E-4A7C-9527-B7B0BFDCC549}"/>
            </a:ext>
          </a:extLst>
        </xdr:cNvPr>
        <xdr:cNvSpPr/>
      </xdr:nvSpPr>
      <xdr:spPr>
        <a:xfrm>
          <a:off x="0" y="632968"/>
          <a:ext cx="1487424" cy="231648"/>
        </a:xfrm>
        <a:prstGeom prst="roundRect">
          <a:avLst/>
        </a:prstGeom>
        <a:solidFill>
          <a:srgbClr val="748B90"/>
        </a:solidFill>
        <a:ln>
          <a:solidFill>
            <a:srgbClr val="5D7075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 baseline="0">
              <a:solidFill>
                <a:schemeClr val="tx1"/>
              </a:solidFill>
              <a:latin typeface="Imprint MT Shadow" panose="04020605060303030202" pitchFamily="82" charset="0"/>
            </a:rPr>
            <a:t>NOME :</a:t>
          </a:r>
        </a:p>
      </xdr:txBody>
    </xdr:sp>
    <xdr:clientData/>
  </xdr:twoCellAnchor>
  <xdr:twoCellAnchor>
    <xdr:from>
      <xdr:col>0</xdr:col>
      <xdr:colOff>0</xdr:colOff>
      <xdr:row>4</xdr:row>
      <xdr:rowOff>9144</xdr:rowOff>
    </xdr:from>
    <xdr:to>
      <xdr:col>3</xdr:col>
      <xdr:colOff>0</xdr:colOff>
      <xdr:row>5</xdr:row>
      <xdr:rowOff>12192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7DB293C-6A27-408B-9111-31EAEB01DD5B}"/>
            </a:ext>
          </a:extLst>
        </xdr:cNvPr>
        <xdr:cNvSpPr/>
      </xdr:nvSpPr>
      <xdr:spPr>
        <a:xfrm>
          <a:off x="0" y="871728"/>
          <a:ext cx="1487424" cy="231648"/>
        </a:xfrm>
        <a:prstGeom prst="roundRect">
          <a:avLst/>
        </a:prstGeom>
        <a:solidFill>
          <a:srgbClr val="748B90"/>
        </a:solidFill>
        <a:ln>
          <a:solidFill>
            <a:srgbClr val="5D7075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 baseline="0">
              <a:solidFill>
                <a:schemeClr val="tx1"/>
              </a:solidFill>
              <a:latin typeface="Imprint MT Shadow" panose="04020605060303030202" pitchFamily="82" charset="0"/>
            </a:rPr>
            <a:t>CPF :</a:t>
          </a:r>
        </a:p>
      </xdr:txBody>
    </xdr:sp>
    <xdr:clientData/>
  </xdr:twoCellAnchor>
  <xdr:twoCellAnchor>
    <xdr:from>
      <xdr:col>0</xdr:col>
      <xdr:colOff>0</xdr:colOff>
      <xdr:row>5</xdr:row>
      <xdr:rowOff>0</xdr:rowOff>
    </xdr:from>
    <xdr:to>
      <xdr:col>3</xdr:col>
      <xdr:colOff>0</xdr:colOff>
      <xdr:row>6</xdr:row>
      <xdr:rowOff>3048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6B8011DD-5C55-4BAB-82B4-68962972E44F}"/>
            </a:ext>
          </a:extLst>
        </xdr:cNvPr>
        <xdr:cNvSpPr/>
      </xdr:nvSpPr>
      <xdr:spPr>
        <a:xfrm>
          <a:off x="0" y="1091184"/>
          <a:ext cx="1487424" cy="231648"/>
        </a:xfrm>
        <a:prstGeom prst="roundRect">
          <a:avLst/>
        </a:prstGeom>
        <a:solidFill>
          <a:srgbClr val="748B90"/>
        </a:solidFill>
        <a:ln>
          <a:solidFill>
            <a:srgbClr val="5D7075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 baseline="0">
              <a:solidFill>
                <a:schemeClr val="tx1"/>
              </a:solidFill>
              <a:latin typeface="Imprint MT Shadow" panose="04020605060303030202" pitchFamily="82" charset="0"/>
            </a:rPr>
            <a:t>DESCRIÇÃO :</a:t>
          </a:r>
        </a:p>
      </xdr:txBody>
    </xdr:sp>
    <xdr:clientData/>
  </xdr:twoCellAnchor>
  <xdr:twoCellAnchor>
    <xdr:from>
      <xdr:col>1</xdr:col>
      <xdr:colOff>8023</xdr:colOff>
      <xdr:row>6</xdr:row>
      <xdr:rowOff>15240</xdr:rowOff>
    </xdr:from>
    <xdr:to>
      <xdr:col>3</xdr:col>
      <xdr:colOff>0</xdr:colOff>
      <xdr:row>7</xdr:row>
      <xdr:rowOff>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CB287F51-6E27-47B5-8936-D59978809C3E}"/>
            </a:ext>
          </a:extLst>
        </xdr:cNvPr>
        <xdr:cNvSpPr/>
      </xdr:nvSpPr>
      <xdr:spPr>
        <a:xfrm>
          <a:off x="8023" y="1335024"/>
          <a:ext cx="1479401" cy="213360"/>
        </a:xfrm>
        <a:prstGeom prst="roundRect">
          <a:avLst/>
        </a:prstGeom>
        <a:solidFill>
          <a:srgbClr val="748B90"/>
        </a:solidFill>
        <a:ln>
          <a:solidFill>
            <a:srgbClr val="5D7075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 baseline="0">
              <a:solidFill>
                <a:schemeClr val="tx1"/>
              </a:solidFill>
              <a:latin typeface="Imprint MT Shadow" panose="04020605060303030202" pitchFamily="82" charset="0"/>
            </a:rPr>
            <a:t>VALOR :</a:t>
          </a:r>
        </a:p>
      </xdr:txBody>
    </xdr:sp>
    <xdr:clientData/>
  </xdr:twoCellAnchor>
  <xdr:twoCellAnchor>
    <xdr:from>
      <xdr:col>1</xdr:col>
      <xdr:colOff>7511</xdr:colOff>
      <xdr:row>7</xdr:row>
      <xdr:rowOff>0</xdr:rowOff>
    </xdr:from>
    <xdr:to>
      <xdr:col>3</xdr:col>
      <xdr:colOff>0</xdr:colOff>
      <xdr:row>8</xdr:row>
      <xdr:rowOff>3048</xdr:rowOff>
    </xdr:to>
    <xdr:sp macro="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7F357A3-BF8D-4176-BA15-68576C7806EB}"/>
            </a:ext>
          </a:extLst>
        </xdr:cNvPr>
        <xdr:cNvSpPr/>
      </xdr:nvSpPr>
      <xdr:spPr>
        <a:xfrm>
          <a:off x="7511" y="1548384"/>
          <a:ext cx="1479913" cy="231648"/>
        </a:xfrm>
        <a:prstGeom prst="roundRect">
          <a:avLst/>
        </a:prstGeom>
        <a:solidFill>
          <a:srgbClr val="748B90"/>
        </a:solidFill>
        <a:ln>
          <a:solidFill>
            <a:srgbClr val="5D7075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 baseline="0">
              <a:solidFill>
                <a:schemeClr val="tx1"/>
              </a:solidFill>
              <a:latin typeface="Imprint MT Shadow" panose="04020605060303030202" pitchFamily="82" charset="0"/>
            </a:rPr>
            <a:t>TIPO :</a:t>
          </a:r>
        </a:p>
      </xdr:txBody>
    </xdr:sp>
    <xdr:clientData/>
  </xdr:twoCellAnchor>
  <xdr:twoCellAnchor>
    <xdr:from>
      <xdr:col>0</xdr:col>
      <xdr:colOff>3048</xdr:colOff>
      <xdr:row>9</xdr:row>
      <xdr:rowOff>3175</xdr:rowOff>
    </xdr:from>
    <xdr:to>
      <xdr:col>3</xdr:col>
      <xdr:colOff>3048</xdr:colOff>
      <xdr:row>9</xdr:row>
      <xdr:rowOff>252984</xdr:rowOff>
    </xdr:to>
    <xdr:sp macro="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3CE86479-0CAE-4913-9F65-CE5FBC96EF82}"/>
            </a:ext>
          </a:extLst>
        </xdr:cNvPr>
        <xdr:cNvSpPr/>
      </xdr:nvSpPr>
      <xdr:spPr>
        <a:xfrm>
          <a:off x="3048" y="1870075"/>
          <a:ext cx="1485900" cy="249809"/>
        </a:xfrm>
        <a:prstGeom prst="roundRect">
          <a:avLst/>
        </a:prstGeom>
        <a:solidFill>
          <a:srgbClr val="748B90"/>
        </a:solidFill>
        <a:ln>
          <a:solidFill>
            <a:srgbClr val="5D7075"/>
          </a:solidFill>
        </a:ln>
        <a:effectLst/>
        <a:scene3d>
          <a:camera prst="orthographicFront">
            <a:rot lat="0" lon="0" rev="0"/>
          </a:camera>
          <a:lightRig rig="glow" dir="t">
            <a:rot lat="0" lon="0" rev="14100000"/>
          </a:lightRig>
        </a:scene3d>
        <a:sp3d prstMaterial="softEdge">
          <a:bevelT w="1270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1100" baseline="0">
              <a:solidFill>
                <a:schemeClr val="tx1"/>
              </a:solidFill>
              <a:latin typeface="Imprint MT Shadow" panose="04020605060303030202" pitchFamily="82" charset="0"/>
            </a:rPr>
            <a:t>SALDO DO DIA :</a:t>
          </a:r>
        </a:p>
      </xdr:txBody>
    </xdr:sp>
    <xdr:clientData/>
  </xdr:twoCellAnchor>
  <xdr:twoCellAnchor>
    <xdr:from>
      <xdr:col>2</xdr:col>
      <xdr:colOff>118872</xdr:colOff>
      <xdr:row>1</xdr:row>
      <xdr:rowOff>472440</xdr:rowOff>
    </xdr:from>
    <xdr:to>
      <xdr:col>2</xdr:col>
      <xdr:colOff>856488</xdr:colOff>
      <xdr:row>1</xdr:row>
      <xdr:rowOff>557784</xdr:rowOff>
    </xdr:to>
    <xdr:sp macro="[0]!IrParaHome" textlink="">
      <xdr:nvSpPr>
        <xdr:cNvPr id="15" name="Forma Livre: Forma 14">
          <a:extLst>
            <a:ext uri="{FF2B5EF4-FFF2-40B4-BE49-F238E27FC236}">
              <a16:creationId xmlns:a16="http://schemas.microsoft.com/office/drawing/2014/main" id="{7EEF97E2-F14F-45A9-9CB6-E87C6497E448}"/>
            </a:ext>
          </a:extLst>
        </xdr:cNvPr>
        <xdr:cNvSpPr/>
      </xdr:nvSpPr>
      <xdr:spPr>
        <a:xfrm>
          <a:off x="569976" y="472440"/>
          <a:ext cx="737616" cy="85344"/>
        </a:xfrm>
        <a:custGeom>
          <a:avLst/>
          <a:gdLst>
            <a:gd name="connsiteX0" fmla="*/ 728472 w 737616"/>
            <a:gd name="connsiteY0" fmla="*/ 0 h 85344"/>
            <a:gd name="connsiteX1" fmla="*/ 643128 w 737616"/>
            <a:gd name="connsiteY1" fmla="*/ 0 h 85344"/>
            <a:gd name="connsiteX2" fmla="*/ 533400 w 737616"/>
            <a:gd name="connsiteY2" fmla="*/ 6096 h 85344"/>
            <a:gd name="connsiteX3" fmla="*/ 414528 w 737616"/>
            <a:gd name="connsiteY3" fmla="*/ 15240 h 85344"/>
            <a:gd name="connsiteX4" fmla="*/ 304800 w 737616"/>
            <a:gd name="connsiteY4" fmla="*/ 30480 h 85344"/>
            <a:gd name="connsiteX5" fmla="*/ 210312 w 737616"/>
            <a:gd name="connsiteY5" fmla="*/ 45720 h 85344"/>
            <a:gd name="connsiteX6" fmla="*/ 118872 w 737616"/>
            <a:gd name="connsiteY6" fmla="*/ 64008 h 85344"/>
            <a:gd name="connsiteX7" fmla="*/ 0 w 737616"/>
            <a:gd name="connsiteY7" fmla="*/ 85344 h 85344"/>
            <a:gd name="connsiteX8" fmla="*/ 737616 w 737616"/>
            <a:gd name="connsiteY8" fmla="*/ 85344 h 85344"/>
            <a:gd name="connsiteX9" fmla="*/ 728472 w 737616"/>
            <a:gd name="connsiteY9" fmla="*/ 0 h 853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737616" h="85344">
              <a:moveTo>
                <a:pt x="728472" y="0"/>
              </a:moveTo>
              <a:lnTo>
                <a:pt x="643128" y="0"/>
              </a:lnTo>
              <a:lnTo>
                <a:pt x="533400" y="6096"/>
              </a:lnTo>
              <a:lnTo>
                <a:pt x="414528" y="15240"/>
              </a:lnTo>
              <a:lnTo>
                <a:pt x="304800" y="30480"/>
              </a:lnTo>
              <a:lnTo>
                <a:pt x="210312" y="45720"/>
              </a:lnTo>
              <a:lnTo>
                <a:pt x="118872" y="64008"/>
              </a:lnTo>
              <a:lnTo>
                <a:pt x="0" y="85344"/>
              </a:lnTo>
              <a:lnTo>
                <a:pt x="737616" y="85344"/>
              </a:lnTo>
              <a:lnTo>
                <a:pt x="728472" y="0"/>
              </a:lnTo>
              <a:close/>
            </a:path>
          </a:pathLst>
        </a:custGeom>
        <a:solidFill>
          <a:srgbClr val="A8B7BA"/>
        </a:solidFill>
        <a:ln>
          <a:solidFill>
            <a:srgbClr val="5D7075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 prst="angle"/>
          </a:sp3d>
        </a:bodyPr>
        <a:lstStyle/>
        <a:p>
          <a:pPr algn="r"/>
          <a:r>
            <a:rPr lang="pt-BR" sz="400">
              <a:ln w="3175"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Forte" panose="03060902040502070203" pitchFamily="66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290286</xdr:colOff>
      <xdr:row>1</xdr:row>
      <xdr:rowOff>1814</xdr:rowOff>
    </xdr:to>
    <xdr:sp macro="[0]!IrParaRegistro" textlink="">
      <xdr:nvSpPr>
        <xdr:cNvPr id="2" name="Fluxograma: Documento 1">
          <a:extLst>
            <a:ext uri="{FF2B5EF4-FFF2-40B4-BE49-F238E27FC236}">
              <a16:creationId xmlns:a16="http://schemas.microsoft.com/office/drawing/2014/main" id="{B2E6BE7A-7FAC-4400-BE1B-71925C683F3F}"/>
            </a:ext>
          </a:extLst>
        </xdr:cNvPr>
        <xdr:cNvSpPr/>
      </xdr:nvSpPr>
      <xdr:spPr>
        <a:xfrm>
          <a:off x="0" y="0"/>
          <a:ext cx="1326606" cy="573314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Registro</a:t>
          </a:r>
        </a:p>
      </xdr:txBody>
    </xdr:sp>
    <xdr:clientData/>
  </xdr:twoCellAnchor>
  <xdr:twoCellAnchor>
    <xdr:from>
      <xdr:col>1</xdr:col>
      <xdr:colOff>2956560</xdr:colOff>
      <xdr:row>0</xdr:row>
      <xdr:rowOff>0</xdr:rowOff>
    </xdr:from>
    <xdr:to>
      <xdr:col>2</xdr:col>
      <xdr:colOff>899886</xdr:colOff>
      <xdr:row>1</xdr:row>
      <xdr:rowOff>1814</xdr:rowOff>
    </xdr:to>
    <xdr:sp macro="[0]!IrParaDados" textlink="">
      <xdr:nvSpPr>
        <xdr:cNvPr id="4" name="Fluxograma: Documento 3">
          <a:extLst>
            <a:ext uri="{FF2B5EF4-FFF2-40B4-BE49-F238E27FC236}">
              <a16:creationId xmlns:a16="http://schemas.microsoft.com/office/drawing/2014/main" id="{4AD73D30-4F1A-4291-AD07-A2E7248C5F35}"/>
            </a:ext>
          </a:extLst>
        </xdr:cNvPr>
        <xdr:cNvSpPr/>
      </xdr:nvSpPr>
      <xdr:spPr>
        <a:xfrm>
          <a:off x="3992880" y="0"/>
          <a:ext cx="1326606" cy="573314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Dados</a:t>
          </a:r>
        </a:p>
      </xdr:txBody>
    </xdr:sp>
    <xdr:clientData/>
  </xdr:twoCellAnchor>
  <xdr:twoCellAnchor>
    <xdr:from>
      <xdr:col>1</xdr:col>
      <xdr:colOff>1625600</xdr:colOff>
      <xdr:row>0</xdr:row>
      <xdr:rowOff>10160</xdr:rowOff>
    </xdr:from>
    <xdr:to>
      <xdr:col>1</xdr:col>
      <xdr:colOff>2952206</xdr:colOff>
      <xdr:row>1</xdr:row>
      <xdr:rowOff>11974</xdr:rowOff>
    </xdr:to>
    <xdr:sp macro="[0]!IrParaSaida" textlink="">
      <xdr:nvSpPr>
        <xdr:cNvPr id="5" name="Fluxograma: Documento 4">
          <a:extLst>
            <a:ext uri="{FF2B5EF4-FFF2-40B4-BE49-F238E27FC236}">
              <a16:creationId xmlns:a16="http://schemas.microsoft.com/office/drawing/2014/main" id="{ECB02F9F-FAAF-4769-BF95-23761DE41D08}"/>
            </a:ext>
          </a:extLst>
        </xdr:cNvPr>
        <xdr:cNvSpPr/>
      </xdr:nvSpPr>
      <xdr:spPr>
        <a:xfrm>
          <a:off x="2707640" y="10160"/>
          <a:ext cx="1326606" cy="575854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Saída</a:t>
          </a:r>
        </a:p>
      </xdr:txBody>
    </xdr:sp>
    <xdr:clientData/>
  </xdr:twoCellAnchor>
  <xdr:twoCellAnchor>
    <xdr:from>
      <xdr:col>1</xdr:col>
      <xdr:colOff>297180</xdr:colOff>
      <xdr:row>0</xdr:row>
      <xdr:rowOff>7620</xdr:rowOff>
    </xdr:from>
    <xdr:to>
      <xdr:col>1</xdr:col>
      <xdr:colOff>1623786</xdr:colOff>
      <xdr:row>1</xdr:row>
      <xdr:rowOff>9434</xdr:rowOff>
    </xdr:to>
    <xdr:sp macro="" textlink="">
      <xdr:nvSpPr>
        <xdr:cNvPr id="6" name="Fluxograma: Documento 5">
          <a:extLst>
            <a:ext uri="{FF2B5EF4-FFF2-40B4-BE49-F238E27FC236}">
              <a16:creationId xmlns:a16="http://schemas.microsoft.com/office/drawing/2014/main" id="{3B9D4BD7-575D-4CFF-97C2-B51F639758A9}"/>
            </a:ext>
          </a:extLst>
        </xdr:cNvPr>
        <xdr:cNvSpPr/>
      </xdr:nvSpPr>
      <xdr:spPr>
        <a:xfrm>
          <a:off x="1333500" y="7620"/>
          <a:ext cx="1326606" cy="573314"/>
        </a:xfrm>
        <a:prstGeom prst="flowChartDocument">
          <a:avLst/>
        </a:prstGeom>
        <a:solidFill>
          <a:srgbClr val="748B9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Entrada</a:t>
          </a:r>
        </a:p>
      </xdr:txBody>
    </xdr:sp>
    <xdr:clientData/>
  </xdr:twoCellAnchor>
  <xdr:twoCellAnchor>
    <xdr:from>
      <xdr:col>0</xdr:col>
      <xdr:colOff>695960</xdr:colOff>
      <xdr:row>0</xdr:row>
      <xdr:rowOff>472440</xdr:rowOff>
    </xdr:from>
    <xdr:to>
      <xdr:col>1</xdr:col>
      <xdr:colOff>275336</xdr:colOff>
      <xdr:row>0</xdr:row>
      <xdr:rowOff>557784</xdr:rowOff>
    </xdr:to>
    <xdr:sp macro="[0]!IrParaHome" textlink="">
      <xdr:nvSpPr>
        <xdr:cNvPr id="7" name="Forma Livre: Forma 6">
          <a:extLst>
            <a:ext uri="{FF2B5EF4-FFF2-40B4-BE49-F238E27FC236}">
              <a16:creationId xmlns:a16="http://schemas.microsoft.com/office/drawing/2014/main" id="{B418E913-369B-429A-B681-4A6E67F1D38A}"/>
            </a:ext>
          </a:extLst>
        </xdr:cNvPr>
        <xdr:cNvSpPr/>
      </xdr:nvSpPr>
      <xdr:spPr>
        <a:xfrm>
          <a:off x="695960" y="472440"/>
          <a:ext cx="737616" cy="85344"/>
        </a:xfrm>
        <a:custGeom>
          <a:avLst/>
          <a:gdLst>
            <a:gd name="connsiteX0" fmla="*/ 728472 w 737616"/>
            <a:gd name="connsiteY0" fmla="*/ 0 h 85344"/>
            <a:gd name="connsiteX1" fmla="*/ 643128 w 737616"/>
            <a:gd name="connsiteY1" fmla="*/ 0 h 85344"/>
            <a:gd name="connsiteX2" fmla="*/ 533400 w 737616"/>
            <a:gd name="connsiteY2" fmla="*/ 6096 h 85344"/>
            <a:gd name="connsiteX3" fmla="*/ 414528 w 737616"/>
            <a:gd name="connsiteY3" fmla="*/ 15240 h 85344"/>
            <a:gd name="connsiteX4" fmla="*/ 304800 w 737616"/>
            <a:gd name="connsiteY4" fmla="*/ 30480 h 85344"/>
            <a:gd name="connsiteX5" fmla="*/ 210312 w 737616"/>
            <a:gd name="connsiteY5" fmla="*/ 45720 h 85344"/>
            <a:gd name="connsiteX6" fmla="*/ 118872 w 737616"/>
            <a:gd name="connsiteY6" fmla="*/ 64008 h 85344"/>
            <a:gd name="connsiteX7" fmla="*/ 0 w 737616"/>
            <a:gd name="connsiteY7" fmla="*/ 85344 h 85344"/>
            <a:gd name="connsiteX8" fmla="*/ 737616 w 737616"/>
            <a:gd name="connsiteY8" fmla="*/ 85344 h 85344"/>
            <a:gd name="connsiteX9" fmla="*/ 728472 w 737616"/>
            <a:gd name="connsiteY9" fmla="*/ 0 h 853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737616" h="85344">
              <a:moveTo>
                <a:pt x="728472" y="0"/>
              </a:moveTo>
              <a:lnTo>
                <a:pt x="643128" y="0"/>
              </a:lnTo>
              <a:lnTo>
                <a:pt x="533400" y="6096"/>
              </a:lnTo>
              <a:lnTo>
                <a:pt x="414528" y="15240"/>
              </a:lnTo>
              <a:lnTo>
                <a:pt x="304800" y="30480"/>
              </a:lnTo>
              <a:lnTo>
                <a:pt x="210312" y="45720"/>
              </a:lnTo>
              <a:lnTo>
                <a:pt x="118872" y="64008"/>
              </a:lnTo>
              <a:lnTo>
                <a:pt x="0" y="85344"/>
              </a:lnTo>
              <a:lnTo>
                <a:pt x="737616" y="85344"/>
              </a:lnTo>
              <a:lnTo>
                <a:pt x="728472" y="0"/>
              </a:lnTo>
              <a:close/>
            </a:path>
          </a:pathLst>
        </a:custGeom>
        <a:solidFill>
          <a:srgbClr val="A8B7BA"/>
        </a:solidFill>
        <a:ln>
          <a:solidFill>
            <a:srgbClr val="5D7075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 prst="angle"/>
          </a:sp3d>
        </a:bodyPr>
        <a:lstStyle/>
        <a:p>
          <a:pPr algn="r"/>
          <a:r>
            <a:rPr lang="pt-BR" sz="400">
              <a:ln w="3175"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Forte" panose="03060902040502070203" pitchFamily="66" charset="0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290286</xdr:colOff>
      <xdr:row>1</xdr:row>
      <xdr:rowOff>1814</xdr:rowOff>
    </xdr:to>
    <xdr:sp macro="[0]!IrParaRegistro" textlink="">
      <xdr:nvSpPr>
        <xdr:cNvPr id="2" name="Fluxograma: Documento 1">
          <a:extLst>
            <a:ext uri="{FF2B5EF4-FFF2-40B4-BE49-F238E27FC236}">
              <a16:creationId xmlns:a16="http://schemas.microsoft.com/office/drawing/2014/main" id="{E855FEB8-6FB6-4911-A4CD-80F57588F77B}"/>
            </a:ext>
          </a:extLst>
        </xdr:cNvPr>
        <xdr:cNvSpPr/>
      </xdr:nvSpPr>
      <xdr:spPr>
        <a:xfrm>
          <a:off x="0" y="0"/>
          <a:ext cx="1372326" cy="573314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Registro</a:t>
          </a:r>
        </a:p>
      </xdr:txBody>
    </xdr:sp>
    <xdr:clientData/>
  </xdr:twoCellAnchor>
  <xdr:twoCellAnchor>
    <xdr:from>
      <xdr:col>1</xdr:col>
      <xdr:colOff>2956560</xdr:colOff>
      <xdr:row>0</xdr:row>
      <xdr:rowOff>0</xdr:rowOff>
    </xdr:from>
    <xdr:to>
      <xdr:col>2</xdr:col>
      <xdr:colOff>899886</xdr:colOff>
      <xdr:row>1</xdr:row>
      <xdr:rowOff>1814</xdr:rowOff>
    </xdr:to>
    <xdr:sp macro="[0]!IrParaDados" textlink="">
      <xdr:nvSpPr>
        <xdr:cNvPr id="4" name="Fluxograma: Documento 3">
          <a:extLst>
            <a:ext uri="{FF2B5EF4-FFF2-40B4-BE49-F238E27FC236}">
              <a16:creationId xmlns:a16="http://schemas.microsoft.com/office/drawing/2014/main" id="{67C8441F-1716-4C14-A828-976BC2549AB3}"/>
            </a:ext>
          </a:extLst>
        </xdr:cNvPr>
        <xdr:cNvSpPr/>
      </xdr:nvSpPr>
      <xdr:spPr>
        <a:xfrm>
          <a:off x="4038600" y="0"/>
          <a:ext cx="1326606" cy="573314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Dados</a:t>
          </a:r>
        </a:p>
      </xdr:txBody>
    </xdr:sp>
    <xdr:clientData/>
  </xdr:twoCellAnchor>
  <xdr:twoCellAnchor>
    <xdr:from>
      <xdr:col>1</xdr:col>
      <xdr:colOff>1625600</xdr:colOff>
      <xdr:row>0</xdr:row>
      <xdr:rowOff>10160</xdr:rowOff>
    </xdr:from>
    <xdr:to>
      <xdr:col>1</xdr:col>
      <xdr:colOff>2952206</xdr:colOff>
      <xdr:row>1</xdr:row>
      <xdr:rowOff>11974</xdr:rowOff>
    </xdr:to>
    <xdr:sp macro="" textlink="">
      <xdr:nvSpPr>
        <xdr:cNvPr id="5" name="Fluxograma: Documento 4">
          <a:extLst>
            <a:ext uri="{FF2B5EF4-FFF2-40B4-BE49-F238E27FC236}">
              <a16:creationId xmlns:a16="http://schemas.microsoft.com/office/drawing/2014/main" id="{4AEA828D-7409-48A8-89F9-E556E15D4D6D}"/>
            </a:ext>
          </a:extLst>
        </xdr:cNvPr>
        <xdr:cNvSpPr/>
      </xdr:nvSpPr>
      <xdr:spPr>
        <a:xfrm>
          <a:off x="2707640" y="10160"/>
          <a:ext cx="1326606" cy="573314"/>
        </a:xfrm>
        <a:prstGeom prst="flowChartDocument">
          <a:avLst/>
        </a:prstGeom>
        <a:solidFill>
          <a:srgbClr val="748B9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Saída</a:t>
          </a:r>
        </a:p>
      </xdr:txBody>
    </xdr:sp>
    <xdr:clientData/>
  </xdr:twoCellAnchor>
  <xdr:twoCellAnchor>
    <xdr:from>
      <xdr:col>1</xdr:col>
      <xdr:colOff>297180</xdr:colOff>
      <xdr:row>0</xdr:row>
      <xdr:rowOff>7620</xdr:rowOff>
    </xdr:from>
    <xdr:to>
      <xdr:col>1</xdr:col>
      <xdr:colOff>1623786</xdr:colOff>
      <xdr:row>1</xdr:row>
      <xdr:rowOff>9434</xdr:rowOff>
    </xdr:to>
    <xdr:sp macro="[0]!IrParaEntrada" textlink="">
      <xdr:nvSpPr>
        <xdr:cNvPr id="6" name="Fluxograma: Documento 5">
          <a:extLst>
            <a:ext uri="{FF2B5EF4-FFF2-40B4-BE49-F238E27FC236}">
              <a16:creationId xmlns:a16="http://schemas.microsoft.com/office/drawing/2014/main" id="{ED36DBC8-B485-432B-9E62-90E2DBA3817A}"/>
            </a:ext>
          </a:extLst>
        </xdr:cNvPr>
        <xdr:cNvSpPr/>
      </xdr:nvSpPr>
      <xdr:spPr>
        <a:xfrm>
          <a:off x="1379220" y="7620"/>
          <a:ext cx="1326606" cy="573314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Entrada</a:t>
          </a:r>
        </a:p>
      </xdr:txBody>
    </xdr:sp>
    <xdr:clientData/>
  </xdr:twoCellAnchor>
  <xdr:twoCellAnchor>
    <xdr:from>
      <xdr:col>0</xdr:col>
      <xdr:colOff>701040</xdr:colOff>
      <xdr:row>0</xdr:row>
      <xdr:rowOff>467360</xdr:rowOff>
    </xdr:from>
    <xdr:to>
      <xdr:col>1</xdr:col>
      <xdr:colOff>280416</xdr:colOff>
      <xdr:row>0</xdr:row>
      <xdr:rowOff>552704</xdr:rowOff>
    </xdr:to>
    <xdr:sp macro="[0]!IrParaHome" textlink="">
      <xdr:nvSpPr>
        <xdr:cNvPr id="7" name="Forma Livre: Forma 6">
          <a:extLst>
            <a:ext uri="{FF2B5EF4-FFF2-40B4-BE49-F238E27FC236}">
              <a16:creationId xmlns:a16="http://schemas.microsoft.com/office/drawing/2014/main" id="{F9F44A7F-E91C-455D-B663-E4DDF63F7138}"/>
            </a:ext>
          </a:extLst>
        </xdr:cNvPr>
        <xdr:cNvSpPr/>
      </xdr:nvSpPr>
      <xdr:spPr>
        <a:xfrm>
          <a:off x="701040" y="467360"/>
          <a:ext cx="737616" cy="85344"/>
        </a:xfrm>
        <a:custGeom>
          <a:avLst/>
          <a:gdLst>
            <a:gd name="connsiteX0" fmla="*/ 728472 w 737616"/>
            <a:gd name="connsiteY0" fmla="*/ 0 h 85344"/>
            <a:gd name="connsiteX1" fmla="*/ 643128 w 737616"/>
            <a:gd name="connsiteY1" fmla="*/ 0 h 85344"/>
            <a:gd name="connsiteX2" fmla="*/ 533400 w 737616"/>
            <a:gd name="connsiteY2" fmla="*/ 6096 h 85344"/>
            <a:gd name="connsiteX3" fmla="*/ 414528 w 737616"/>
            <a:gd name="connsiteY3" fmla="*/ 15240 h 85344"/>
            <a:gd name="connsiteX4" fmla="*/ 304800 w 737616"/>
            <a:gd name="connsiteY4" fmla="*/ 30480 h 85344"/>
            <a:gd name="connsiteX5" fmla="*/ 210312 w 737616"/>
            <a:gd name="connsiteY5" fmla="*/ 45720 h 85344"/>
            <a:gd name="connsiteX6" fmla="*/ 118872 w 737616"/>
            <a:gd name="connsiteY6" fmla="*/ 64008 h 85344"/>
            <a:gd name="connsiteX7" fmla="*/ 0 w 737616"/>
            <a:gd name="connsiteY7" fmla="*/ 85344 h 85344"/>
            <a:gd name="connsiteX8" fmla="*/ 737616 w 737616"/>
            <a:gd name="connsiteY8" fmla="*/ 85344 h 85344"/>
            <a:gd name="connsiteX9" fmla="*/ 728472 w 737616"/>
            <a:gd name="connsiteY9" fmla="*/ 0 h 853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737616" h="85344">
              <a:moveTo>
                <a:pt x="728472" y="0"/>
              </a:moveTo>
              <a:lnTo>
                <a:pt x="643128" y="0"/>
              </a:lnTo>
              <a:lnTo>
                <a:pt x="533400" y="6096"/>
              </a:lnTo>
              <a:lnTo>
                <a:pt x="414528" y="15240"/>
              </a:lnTo>
              <a:lnTo>
                <a:pt x="304800" y="30480"/>
              </a:lnTo>
              <a:lnTo>
                <a:pt x="210312" y="45720"/>
              </a:lnTo>
              <a:lnTo>
                <a:pt x="118872" y="64008"/>
              </a:lnTo>
              <a:lnTo>
                <a:pt x="0" y="85344"/>
              </a:lnTo>
              <a:lnTo>
                <a:pt x="737616" y="85344"/>
              </a:lnTo>
              <a:lnTo>
                <a:pt x="728472" y="0"/>
              </a:lnTo>
              <a:close/>
            </a:path>
          </a:pathLst>
        </a:custGeom>
        <a:solidFill>
          <a:srgbClr val="A8B7BA"/>
        </a:solidFill>
        <a:ln>
          <a:solidFill>
            <a:srgbClr val="5D7075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 prst="angle"/>
          </a:sp3d>
        </a:bodyPr>
        <a:lstStyle/>
        <a:p>
          <a:pPr algn="r"/>
          <a:r>
            <a:rPr lang="pt-BR" sz="400">
              <a:ln w="3175"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Forte" panose="03060902040502070203" pitchFamily="66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678906</xdr:colOff>
      <xdr:row>1</xdr:row>
      <xdr:rowOff>1814</xdr:rowOff>
    </xdr:to>
    <xdr:sp macro="[0]!IrParaRegistro" textlink="">
      <xdr:nvSpPr>
        <xdr:cNvPr id="28" name="Fluxograma: Documento 27">
          <a:extLst>
            <a:ext uri="{FF2B5EF4-FFF2-40B4-BE49-F238E27FC236}">
              <a16:creationId xmlns:a16="http://schemas.microsoft.com/office/drawing/2014/main" id="{759EB2DB-9646-4664-A503-3397F85FA304}"/>
            </a:ext>
          </a:extLst>
        </xdr:cNvPr>
        <xdr:cNvSpPr/>
      </xdr:nvSpPr>
      <xdr:spPr>
        <a:xfrm>
          <a:off x="0" y="0"/>
          <a:ext cx="1395186" cy="573314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Registro</a:t>
          </a:r>
        </a:p>
      </xdr:txBody>
    </xdr:sp>
    <xdr:clientData/>
  </xdr:twoCellAnchor>
  <xdr:twoCellAnchor>
    <xdr:from>
      <xdr:col>6</xdr:col>
      <xdr:colOff>251460</xdr:colOff>
      <xdr:row>0</xdr:row>
      <xdr:rowOff>15240</xdr:rowOff>
    </xdr:from>
    <xdr:to>
      <xdr:col>8</xdr:col>
      <xdr:colOff>427446</xdr:colOff>
      <xdr:row>1</xdr:row>
      <xdr:rowOff>17054</xdr:rowOff>
    </xdr:to>
    <xdr:sp macro="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7F9CF856-7602-4703-9A52-ECCC44B8FA39}"/>
            </a:ext>
          </a:extLst>
        </xdr:cNvPr>
        <xdr:cNvSpPr/>
      </xdr:nvSpPr>
      <xdr:spPr>
        <a:xfrm>
          <a:off x="4198620" y="15240"/>
          <a:ext cx="1395186" cy="573314"/>
        </a:xfrm>
        <a:prstGeom prst="flowChartDocument">
          <a:avLst/>
        </a:prstGeom>
        <a:solidFill>
          <a:srgbClr val="748B90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Dados</a:t>
          </a:r>
        </a:p>
      </xdr:txBody>
    </xdr:sp>
    <xdr:clientData/>
  </xdr:twoCellAnchor>
  <xdr:twoCellAnchor>
    <xdr:from>
      <xdr:col>4</xdr:col>
      <xdr:colOff>68580</xdr:colOff>
      <xdr:row>0</xdr:row>
      <xdr:rowOff>0</xdr:rowOff>
    </xdr:from>
    <xdr:to>
      <xdr:col>6</xdr:col>
      <xdr:colOff>244566</xdr:colOff>
      <xdr:row>1</xdr:row>
      <xdr:rowOff>1814</xdr:rowOff>
    </xdr:to>
    <xdr:sp macro="[0]!IrParaSaida" textlink="">
      <xdr:nvSpPr>
        <xdr:cNvPr id="31" name="Fluxograma: Documento 30">
          <a:extLst>
            <a:ext uri="{FF2B5EF4-FFF2-40B4-BE49-F238E27FC236}">
              <a16:creationId xmlns:a16="http://schemas.microsoft.com/office/drawing/2014/main" id="{E3E71CA2-C556-4A16-BF41-73ED0435A433}"/>
            </a:ext>
          </a:extLst>
        </xdr:cNvPr>
        <xdr:cNvSpPr/>
      </xdr:nvSpPr>
      <xdr:spPr>
        <a:xfrm>
          <a:off x="2796540" y="0"/>
          <a:ext cx="1395186" cy="573314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Saída</a:t>
          </a:r>
        </a:p>
      </xdr:txBody>
    </xdr:sp>
    <xdr:clientData/>
  </xdr:twoCellAnchor>
  <xdr:twoCellAnchor>
    <xdr:from>
      <xdr:col>1</xdr:col>
      <xdr:colOff>678180</xdr:colOff>
      <xdr:row>0</xdr:row>
      <xdr:rowOff>15240</xdr:rowOff>
    </xdr:from>
    <xdr:to>
      <xdr:col>4</xdr:col>
      <xdr:colOff>61686</xdr:colOff>
      <xdr:row>1</xdr:row>
      <xdr:rowOff>17054</xdr:rowOff>
    </xdr:to>
    <xdr:sp macro="[0]!IrParaEntrad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F4C0E936-CC3A-45CD-A592-5A0479E085F4}"/>
            </a:ext>
          </a:extLst>
        </xdr:cNvPr>
        <xdr:cNvSpPr/>
      </xdr:nvSpPr>
      <xdr:spPr>
        <a:xfrm>
          <a:off x="1394460" y="15240"/>
          <a:ext cx="1395186" cy="573314"/>
        </a:xfrm>
        <a:prstGeom prst="flowChartDocument">
          <a:avLst/>
        </a:prstGeom>
        <a:solidFill>
          <a:srgbClr val="A8B7BA"/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>
          <a:sp3d extrusionH="57150">
            <a:bevelT w="38100" h="38100" prst="angle"/>
          </a:sp3d>
        </a:bodyPr>
        <a:lstStyle/>
        <a:p>
          <a:pPr algn="ctr"/>
          <a:r>
            <a:rPr lang="pt-BR" sz="2400">
              <a:ln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effectLst/>
              <a:latin typeface="Forte" panose="03060902040502070203" pitchFamily="66" charset="0"/>
            </a:rPr>
            <a:t>Entrada</a:t>
          </a:r>
        </a:p>
      </xdr:txBody>
    </xdr:sp>
    <xdr:clientData/>
  </xdr:twoCellAnchor>
  <xdr:twoCellAnchor>
    <xdr:from>
      <xdr:col>0</xdr:col>
      <xdr:colOff>2540</xdr:colOff>
      <xdr:row>1</xdr:row>
      <xdr:rowOff>63500</xdr:rowOff>
    </xdr:from>
    <xdr:to>
      <xdr:col>7</xdr:col>
      <xdr:colOff>17780</xdr:colOff>
      <xdr:row>16</xdr:row>
      <xdr:rowOff>63500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A98AC26C-6830-48CF-81A5-F4D49B1C5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533400</xdr:colOff>
      <xdr:row>1</xdr:row>
      <xdr:rowOff>22860</xdr:rowOff>
    </xdr:from>
    <xdr:to>
      <xdr:col>15</xdr:col>
      <xdr:colOff>22273</xdr:colOff>
      <xdr:row>16</xdr:row>
      <xdr:rowOff>40445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B6DAEC-1ED4-4AE1-8079-38F0D68A50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22860</xdr:colOff>
      <xdr:row>1</xdr:row>
      <xdr:rowOff>22860</xdr:rowOff>
    </xdr:from>
    <xdr:to>
      <xdr:col>10</xdr:col>
      <xdr:colOff>547468</xdr:colOff>
      <xdr:row>16</xdr:row>
      <xdr:rowOff>40445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E181A48-8D9B-4219-AF01-D6A7B9B943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640080</xdr:colOff>
      <xdr:row>0</xdr:row>
      <xdr:rowOff>472440</xdr:rowOff>
    </xdr:from>
    <xdr:to>
      <xdr:col>1</xdr:col>
      <xdr:colOff>661416</xdr:colOff>
      <xdr:row>0</xdr:row>
      <xdr:rowOff>557784</xdr:rowOff>
    </xdr:to>
    <xdr:sp macro="[0]!IrParaHome" textlink="">
      <xdr:nvSpPr>
        <xdr:cNvPr id="9" name="Forma Livre: Forma 8">
          <a:extLst>
            <a:ext uri="{FF2B5EF4-FFF2-40B4-BE49-F238E27FC236}">
              <a16:creationId xmlns:a16="http://schemas.microsoft.com/office/drawing/2014/main" id="{A7FFE051-0D8F-4256-BF1A-2F0FB2990DD4}"/>
            </a:ext>
          </a:extLst>
        </xdr:cNvPr>
        <xdr:cNvSpPr/>
      </xdr:nvSpPr>
      <xdr:spPr>
        <a:xfrm>
          <a:off x="640080" y="472440"/>
          <a:ext cx="737616" cy="85344"/>
        </a:xfrm>
        <a:custGeom>
          <a:avLst/>
          <a:gdLst>
            <a:gd name="connsiteX0" fmla="*/ 728472 w 737616"/>
            <a:gd name="connsiteY0" fmla="*/ 0 h 85344"/>
            <a:gd name="connsiteX1" fmla="*/ 643128 w 737616"/>
            <a:gd name="connsiteY1" fmla="*/ 0 h 85344"/>
            <a:gd name="connsiteX2" fmla="*/ 533400 w 737616"/>
            <a:gd name="connsiteY2" fmla="*/ 6096 h 85344"/>
            <a:gd name="connsiteX3" fmla="*/ 414528 w 737616"/>
            <a:gd name="connsiteY3" fmla="*/ 15240 h 85344"/>
            <a:gd name="connsiteX4" fmla="*/ 304800 w 737616"/>
            <a:gd name="connsiteY4" fmla="*/ 30480 h 85344"/>
            <a:gd name="connsiteX5" fmla="*/ 210312 w 737616"/>
            <a:gd name="connsiteY5" fmla="*/ 45720 h 85344"/>
            <a:gd name="connsiteX6" fmla="*/ 118872 w 737616"/>
            <a:gd name="connsiteY6" fmla="*/ 64008 h 85344"/>
            <a:gd name="connsiteX7" fmla="*/ 0 w 737616"/>
            <a:gd name="connsiteY7" fmla="*/ 85344 h 85344"/>
            <a:gd name="connsiteX8" fmla="*/ 737616 w 737616"/>
            <a:gd name="connsiteY8" fmla="*/ 85344 h 85344"/>
            <a:gd name="connsiteX9" fmla="*/ 728472 w 737616"/>
            <a:gd name="connsiteY9" fmla="*/ 0 h 8534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737616" h="85344">
              <a:moveTo>
                <a:pt x="728472" y="0"/>
              </a:moveTo>
              <a:lnTo>
                <a:pt x="643128" y="0"/>
              </a:lnTo>
              <a:lnTo>
                <a:pt x="533400" y="6096"/>
              </a:lnTo>
              <a:lnTo>
                <a:pt x="414528" y="15240"/>
              </a:lnTo>
              <a:lnTo>
                <a:pt x="304800" y="30480"/>
              </a:lnTo>
              <a:lnTo>
                <a:pt x="210312" y="45720"/>
              </a:lnTo>
              <a:lnTo>
                <a:pt x="118872" y="64008"/>
              </a:lnTo>
              <a:lnTo>
                <a:pt x="0" y="85344"/>
              </a:lnTo>
              <a:lnTo>
                <a:pt x="737616" y="85344"/>
              </a:lnTo>
              <a:lnTo>
                <a:pt x="728472" y="0"/>
              </a:lnTo>
              <a:close/>
            </a:path>
          </a:pathLst>
        </a:custGeom>
        <a:solidFill>
          <a:srgbClr val="A8B7BA"/>
        </a:solidFill>
        <a:ln>
          <a:solidFill>
            <a:srgbClr val="5D7075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 prst="angle"/>
          </a:sp3d>
        </a:bodyPr>
        <a:lstStyle/>
        <a:p>
          <a:pPr algn="r"/>
          <a:r>
            <a:rPr lang="pt-BR" sz="400">
              <a:ln w="3175">
                <a:solidFill>
                  <a:schemeClr val="tx2"/>
                </a:solidFill>
              </a:ln>
              <a:solidFill>
                <a:schemeClr val="tx1">
                  <a:lumMod val="75000"/>
                  <a:lumOff val="25000"/>
                </a:schemeClr>
              </a:solidFill>
              <a:latin typeface="Forte" panose="03060902040502070203" pitchFamily="66" charset="0"/>
            </a:rPr>
            <a:t>HOME</a:t>
          </a: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7</xdr:col>
      <xdr:colOff>15240</xdr:colOff>
      <xdr:row>32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CE9EA55-7F1F-4C5F-9136-03A138A859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4231.690235648151" createdVersion="6" refreshedVersion="6" minRefreshableVersion="3" recordCount="220" xr:uid="{916F97D4-0E95-4046-9DA8-A7CA8E348D9A}">
  <cacheSource type="worksheet">
    <worksheetSource name="Tabela5"/>
  </cacheSource>
  <cacheFields count="9">
    <cacheField name="CPF" numFmtId="166">
      <sharedItems containsBlank="1" containsMixedTypes="1" containsNumber="1" containsInteger="1" minValue="1140826603" maxValue="90638211654"/>
    </cacheField>
    <cacheField name="NOME" numFmtId="0">
      <sharedItems containsBlank="1"/>
    </cacheField>
    <cacheField name="DESCRIÇÃO" numFmtId="49">
      <sharedItems containsBlank="1"/>
    </cacheField>
    <cacheField name="TIPO" numFmtId="49">
      <sharedItems containsBlank="1" count="3">
        <m/>
        <s v="Cartão/TED"/>
        <s v="Dinheiro"/>
      </sharedItems>
    </cacheField>
    <cacheField name="VALOR" numFmtId="164">
      <sharedItems containsString="0" containsBlank="1" containsNumber="1" minValue="29.4" maxValue="4145"/>
    </cacheField>
    <cacheField name="DATA" numFmtId="168">
      <sharedItems containsNonDate="0" containsDate="1" containsString="0" containsBlank="1" minDate="2020-08-26T00:00:00" maxDate="2021-02-05T00:00:00" count="100">
        <m/>
        <d v="2021-02-04T00:00:00"/>
        <d v="2021-02-03T00:00:00"/>
        <d v="2021-02-02T00:00:00"/>
        <d v="2021-02-01T00:00:00"/>
        <d v="2021-01-27T00:00:00"/>
        <d v="2021-01-23T00:00:00"/>
        <d v="2021-01-21T00:00:00"/>
        <d v="2021-01-26T00:00:00"/>
        <d v="2021-01-25T00:00:00"/>
        <d v="2021-01-20T00:00:00"/>
        <d v="2021-01-18T00:00:00"/>
        <d v="2021-01-14T00:00:00"/>
        <d v="2021-01-13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4T00:00:00"/>
        <d v="2020-09-24T00:00:00"/>
        <d v="2020-12-23T00:00:00"/>
        <d v="2020-12-22T00:00:00"/>
        <d v="2020-12-21T00:00:00"/>
        <d v="2020-12-18T00:00:00"/>
        <d v="2020-12-17T00:00:00"/>
        <d v="2020-12-16T00:00:00"/>
        <d v="2020-12-14T00:00:00"/>
        <d v="2020-12-13T00:00:00"/>
        <d v="2020-12-12T00:00:00"/>
        <d v="2020-12-11T00:00:00"/>
        <d v="2020-12-10T00:00:00"/>
        <d v="2020-12-07T00:00:00"/>
        <d v="2020-11-30T00:00:00"/>
        <d v="2020-11-25T00:00:00"/>
        <d v="2020-11-24T00:00:00"/>
        <d v="2020-11-23T00:00:00"/>
        <d v="2020-11-22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09T00:00:00"/>
        <d v="2020-11-01T00:00:00"/>
        <d v="2020-11-06T00:00:00"/>
        <d v="2020-10-31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3T00:00:00"/>
        <d v="2020-10-12T00:00:00"/>
        <d v="2020-10-10T00:00:00"/>
        <d v="2020-10-08T00:00:00"/>
        <d v="2020-10-07T00:00:00"/>
        <d v="2020-10-06T00:00:00"/>
        <d v="2020-10-02T00:00:00"/>
        <d v="2020-10-01T00:00:00"/>
        <d v="2020-09-30T00:00:00"/>
        <d v="2020-09-29T00:00:00"/>
        <d v="2020-09-28T00:00:00"/>
        <d v="2020-09-25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09-11T00:00:00"/>
        <d v="2020-09-10T00:00:00"/>
        <d v="2020-09-09T00:00:00"/>
        <d v="2020-09-08T00:00:00"/>
        <d v="2020-09-07T00:00:00"/>
        <d v="2020-09-04T00:00:00"/>
        <d v="2020-09-03T00:00:00"/>
        <d v="2020-09-02T00:00:00"/>
        <d v="2020-09-01T00:00:00"/>
        <d v="2020-08-31T00:00:00"/>
        <d v="2020-08-28T00:00:00"/>
        <d v="2020-08-27T00:00:00"/>
        <d v="2020-08-26T00:00:00"/>
      </sharedItems>
      <fieldGroup par="8" base="5">
        <rangePr groupBy="days" startDate="2020-08-26T00:00:00" endDate="2021-02-05T00:00:00"/>
        <groupItems count="368">
          <s v="(vazio)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5/02/2021"/>
        </groupItems>
      </fieldGroup>
    </cacheField>
    <cacheField name="MÊS" numFmtId="0">
      <sharedItems containsMixedTypes="1" containsNumber="1" containsInteger="1" minValue="1" maxValue="12" count="8">
        <s v=""/>
        <n v="2"/>
        <n v="1"/>
        <n v="12"/>
        <n v="9"/>
        <n v="11"/>
        <n v="10"/>
        <n v="8"/>
      </sharedItems>
    </cacheField>
    <cacheField name="VAL" numFmtId="0">
      <sharedItems containsBlank="1"/>
    </cacheField>
    <cacheField name="Meses" numFmtId="0" databaseField="0">
      <fieldGroup base="5">
        <rangePr groupBy="months" startDate="2020-08-26T00:00:00" endDate="2021-02-05T00:00:00"/>
        <groupItems count="14">
          <s v="&lt;26/08/2020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5/02/2021"/>
        </groupItems>
      </fieldGroup>
    </cacheField>
  </cacheFields>
  <extLst>
    <ext xmlns:x14="http://schemas.microsoft.com/office/spreadsheetml/2009/9/main" uri="{725AE2AE-9491-48be-B2B4-4EB974FC3084}">
      <x14:pivotCacheDefinition pivotCacheId="13222191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">
  <r>
    <m/>
    <m/>
    <m/>
    <x v="0"/>
    <m/>
    <x v="0"/>
    <x v="0"/>
    <m/>
  </r>
  <r>
    <m/>
    <m/>
    <m/>
    <x v="0"/>
    <m/>
    <x v="0"/>
    <x v="0"/>
    <s v="0"/>
  </r>
  <r>
    <m/>
    <s v="João Victor Nezio de Carvalho"/>
    <s v="Sinal"/>
    <x v="1"/>
    <n v="100"/>
    <x v="1"/>
    <x v="1"/>
    <s v="44231"/>
  </r>
  <r>
    <n v="7202522616"/>
    <s v="Leonardo Augusto Nascimento"/>
    <s v="Pagamento Tattoo"/>
    <x v="1"/>
    <n v="1400"/>
    <x v="2"/>
    <x v="1"/>
    <s v="44230"/>
  </r>
  <r>
    <m/>
    <s v="Olavo Neto"/>
    <s v="Pagamento Tattoo"/>
    <x v="2"/>
    <n v="2700"/>
    <x v="3"/>
    <x v="1"/>
    <s v="44229"/>
  </r>
  <r>
    <n v="8944923655"/>
    <s v="Diogo M. Almeida Faria"/>
    <s v="Pagamento Tattoo"/>
    <x v="1"/>
    <n v="1400"/>
    <x v="4"/>
    <x v="1"/>
    <s v="44228"/>
  </r>
  <r>
    <m/>
    <s v="Luiza Simões Azevedo"/>
    <s v="Pagamento Tattoo"/>
    <x v="1"/>
    <n v="250"/>
    <x v="5"/>
    <x v="2"/>
    <s v="44223"/>
  </r>
  <r>
    <n v="5801385690"/>
    <s v="Patrícia Martins"/>
    <s v="Pagamento Tattoo"/>
    <x v="1"/>
    <n v="2500"/>
    <x v="5"/>
    <x v="2"/>
    <s v="44223"/>
  </r>
  <r>
    <m/>
    <s v="Workshop"/>
    <m/>
    <x v="2"/>
    <n v="1300"/>
    <x v="6"/>
    <x v="2"/>
    <s v="44219"/>
  </r>
  <r>
    <m/>
    <s v="Workshop"/>
    <m/>
    <x v="2"/>
    <n v="1300"/>
    <x v="6"/>
    <x v="2"/>
    <s v="44219"/>
  </r>
  <r>
    <m/>
    <s v="Workshop"/>
    <m/>
    <x v="2"/>
    <n v="1300"/>
    <x v="6"/>
    <x v="2"/>
    <s v="44219"/>
  </r>
  <r>
    <m/>
    <s v="Olavo Neto"/>
    <s v="Pagamento Tattoo"/>
    <x v="1"/>
    <n v="2700"/>
    <x v="7"/>
    <x v="2"/>
    <s v="44217"/>
  </r>
  <r>
    <n v="7202522616"/>
    <s v="Leonardo Augusto Nascimento"/>
    <s v="Pagamento Tattoo"/>
    <x v="1"/>
    <n v="1600"/>
    <x v="8"/>
    <x v="2"/>
    <s v="44222"/>
  </r>
  <r>
    <n v="10960777792"/>
    <s v="Maillana Lameira"/>
    <s v="Pagamento Tattoo"/>
    <x v="1"/>
    <n v="300"/>
    <x v="8"/>
    <x v="2"/>
    <s v="44222"/>
  </r>
  <r>
    <n v="34287832809"/>
    <s v="André Roberto Jesus"/>
    <s v="Pagamento Tattoo"/>
    <x v="1"/>
    <n v="2150"/>
    <x v="9"/>
    <x v="2"/>
    <s v="44221"/>
  </r>
  <r>
    <m/>
    <s v="Raquel Pires da Cruz"/>
    <s v="Sinal"/>
    <x v="1"/>
    <n v="100"/>
    <x v="6"/>
    <x v="2"/>
    <s v="44219"/>
  </r>
  <r>
    <n v="90638211654"/>
    <s v="Marina Filizzola Melquiades de Oliveira"/>
    <s v="Pagamento Tattoo"/>
    <x v="1"/>
    <n v="1900"/>
    <x v="6"/>
    <x v="2"/>
    <s v="44219"/>
  </r>
  <r>
    <m/>
    <s v="Jessica Menegueli"/>
    <s v="Pagamento Tattoo"/>
    <x v="1"/>
    <n v="2000"/>
    <x v="10"/>
    <x v="2"/>
    <s v="44216"/>
  </r>
  <r>
    <n v="6232441605"/>
    <s v="Alex de Matos Meneguelli"/>
    <s v="Pagamento Tattoo"/>
    <x v="1"/>
    <n v="1900"/>
    <x v="11"/>
    <x v="2"/>
    <s v="44214"/>
  </r>
  <r>
    <m/>
    <s v="André Roberto Jesus Freitas"/>
    <s v="Sinal"/>
    <x v="1"/>
    <n v="300"/>
    <x v="11"/>
    <x v="2"/>
    <s v="44214"/>
  </r>
  <r>
    <m/>
    <s v="Adelaide de Oliveira Ribeiro (sinal da ana)"/>
    <s v="Sinal"/>
    <x v="1"/>
    <n v="50"/>
    <x v="11"/>
    <x v="2"/>
    <s v="44214"/>
  </r>
  <r>
    <m/>
    <s v="Bruno Ferraz"/>
    <s v="Sinal"/>
    <x v="1"/>
    <n v="200"/>
    <x v="11"/>
    <x v="2"/>
    <s v="44214"/>
  </r>
  <r>
    <m/>
    <s v="Bruno Ferraz"/>
    <s v="Sinal"/>
    <x v="1"/>
    <n v="200"/>
    <x v="11"/>
    <x v="2"/>
    <s v="44214"/>
  </r>
  <r>
    <m/>
    <s v="Bruno Ferraz"/>
    <s v="Sinal"/>
    <x v="1"/>
    <n v="200"/>
    <x v="11"/>
    <x v="2"/>
    <s v="44214"/>
  </r>
  <r>
    <n v="8981601623"/>
    <s v="Amanda de Almeida Pires e Souza"/>
    <s v="Pagamento Tattoo"/>
    <x v="1"/>
    <n v="2900"/>
    <x v="12"/>
    <x v="2"/>
    <s v="44210"/>
  </r>
  <r>
    <n v="13927166677"/>
    <s v="Luísa Siqueira Tarquinio"/>
    <s v="Pagamento Tattoo"/>
    <x v="1"/>
    <n v="1900"/>
    <x v="13"/>
    <x v="2"/>
    <s v="44209"/>
  </r>
  <r>
    <m/>
    <s v="Leonardo Ribeiro"/>
    <s v="Pagamento Tattoo"/>
    <x v="1"/>
    <n v="200"/>
    <x v="14"/>
    <x v="2"/>
    <s v="44204"/>
  </r>
  <r>
    <n v="10610263617"/>
    <s v="Jean Lucas Alves Ruffini"/>
    <s v="Pagamento Tattoo"/>
    <x v="1"/>
    <n v="1200"/>
    <x v="14"/>
    <x v="2"/>
    <s v="44204"/>
  </r>
  <r>
    <n v="10610263617"/>
    <s v="Jean Lucas Alves Ruffini"/>
    <s v="Pagamento Tattoo"/>
    <x v="2"/>
    <n v="500"/>
    <x v="14"/>
    <x v="2"/>
    <s v="44204"/>
  </r>
  <r>
    <n v="9058715612"/>
    <s v="Isabel Bastos Avelar"/>
    <s v="Pagamento Tattoo"/>
    <x v="1"/>
    <n v="1400"/>
    <x v="15"/>
    <x v="2"/>
    <s v="44203"/>
  </r>
  <r>
    <n v="3768642658"/>
    <s v="André Luis Carvalho"/>
    <s v="Pagamento Tattoo"/>
    <x v="2"/>
    <n v="2000"/>
    <x v="16"/>
    <x v="2"/>
    <s v="44202"/>
  </r>
  <r>
    <n v="6268084640"/>
    <s v="Cynthia Lessa da Costa"/>
    <s v="Pagamento Tattoo"/>
    <x v="1"/>
    <n v="400"/>
    <x v="16"/>
    <x v="2"/>
    <s v="44202"/>
  </r>
  <r>
    <n v="6084829600"/>
    <s v="Carolina Calazans Lopes Leopoldino"/>
    <s v="Pagamento Tattoo"/>
    <x v="1"/>
    <n v="2100"/>
    <x v="17"/>
    <x v="2"/>
    <s v="44201"/>
  </r>
  <r>
    <n v="7492745656"/>
    <s v="Symaira Poliana Nonato"/>
    <s v="Pagamento Tattoo"/>
    <x v="1"/>
    <n v="600"/>
    <x v="17"/>
    <x v="2"/>
    <s v="44201"/>
  </r>
  <r>
    <n v="8892748602"/>
    <s v="Jorddana Rocha de Almeida"/>
    <s v="Pagamento Tattoo"/>
    <x v="1"/>
    <n v="600"/>
    <x v="17"/>
    <x v="2"/>
    <s v="44201"/>
  </r>
  <r>
    <m/>
    <s v="Sean Banker"/>
    <s v="Pagamento Tattoo"/>
    <x v="2"/>
    <n v="1700"/>
    <x v="18"/>
    <x v="2"/>
    <s v="44200"/>
  </r>
  <r>
    <m/>
    <s v="Pedro Henrique Velasco Silveira"/>
    <s v="Pagamento Tattoo"/>
    <x v="1"/>
    <n v="2500"/>
    <x v="19"/>
    <x v="3"/>
    <s v="44195"/>
  </r>
  <r>
    <m/>
    <s v="Noca"/>
    <s v="Pagamento Tattoo"/>
    <x v="2"/>
    <n v="1500"/>
    <x v="20"/>
    <x v="3"/>
    <s v="44194"/>
  </r>
  <r>
    <n v="15535466603"/>
    <s v="Ana Júlia Leite Alves"/>
    <s v="Pagamento Tattoo"/>
    <x v="2"/>
    <n v="60"/>
    <x v="20"/>
    <x v="3"/>
    <s v="44194"/>
  </r>
  <r>
    <n v="15535466603"/>
    <s v="Ana Júlia Leite Alves"/>
    <s v="Pagamento Tattoo"/>
    <x v="1"/>
    <n v="529.25"/>
    <x v="20"/>
    <x v="3"/>
    <s v="44194"/>
  </r>
  <r>
    <n v="4636257650"/>
    <s v="Vitor Anthoine"/>
    <s v="Pagamento Tattoo"/>
    <x v="1"/>
    <n v="1519.16"/>
    <x v="21"/>
    <x v="3"/>
    <s v="44193"/>
  </r>
  <r>
    <n v="3964593664"/>
    <s v="Bruno Malta Pinto"/>
    <s v="Pagamento Tattoo"/>
    <x v="1"/>
    <n v="900"/>
    <x v="22"/>
    <x v="3"/>
    <s v="44189"/>
  </r>
  <r>
    <n v="2801157686"/>
    <s v="Marcelo Carvalho"/>
    <s v="Pagamento Tattoo"/>
    <x v="1"/>
    <n v="330"/>
    <x v="23"/>
    <x v="4"/>
    <s v="44098"/>
  </r>
  <r>
    <m/>
    <s v="Ana Paula Miqueletti"/>
    <s v="Sinal"/>
    <x v="1"/>
    <n v="200"/>
    <x v="22"/>
    <x v="3"/>
    <s v="44189"/>
  </r>
  <r>
    <n v="3964593664"/>
    <s v="Bruno Malta Pinto"/>
    <s v="Pagamento Tattoo"/>
    <x v="1"/>
    <n v="2300"/>
    <x v="24"/>
    <x v="3"/>
    <s v="44188"/>
  </r>
  <r>
    <n v="3248865601"/>
    <s v="William A. Moreira"/>
    <s v="Pagamento Tattoo"/>
    <x v="1"/>
    <n v="1500"/>
    <x v="25"/>
    <x v="3"/>
    <s v="44187"/>
  </r>
  <r>
    <m/>
    <s v="Luís Fernando Rodrigues"/>
    <s v="Sinal"/>
    <x v="1"/>
    <n v="200"/>
    <x v="26"/>
    <x v="3"/>
    <s v="44186"/>
  </r>
  <r>
    <n v="6232441605"/>
    <s v="Alex de Matos Meneguelli"/>
    <s v="Sinal"/>
    <x v="1"/>
    <n v="100"/>
    <x v="27"/>
    <x v="3"/>
    <s v="44183"/>
  </r>
  <r>
    <n v="6232441605"/>
    <s v="Alex de Matos Meneguelli"/>
    <s v="Pagamento Tattoo"/>
    <x v="1"/>
    <n v="1400"/>
    <x v="27"/>
    <x v="3"/>
    <s v="44183"/>
  </r>
  <r>
    <m/>
    <s v="Walber Barros Martins"/>
    <s v="Sinal"/>
    <x v="1"/>
    <n v="400"/>
    <x v="28"/>
    <x v="3"/>
    <s v="44182"/>
  </r>
  <r>
    <n v="7821265616"/>
    <s v="Magna Barbosa Cassiano"/>
    <s v="Pagamento Tattoo"/>
    <x v="1"/>
    <n v="200"/>
    <x v="28"/>
    <x v="3"/>
    <s v="44182"/>
  </r>
  <r>
    <n v="7821265616"/>
    <s v="Magna Barbosa Cassiano"/>
    <s v="Pagamento Tattoo"/>
    <x v="2"/>
    <n v="700"/>
    <x v="28"/>
    <x v="3"/>
    <s v="44182"/>
  </r>
  <r>
    <m/>
    <s v="Júnior Oliveira"/>
    <s v="Sinal"/>
    <x v="1"/>
    <n v="200"/>
    <x v="28"/>
    <x v="3"/>
    <s v="44182"/>
  </r>
  <r>
    <s v="xxx"/>
    <s v="Marina"/>
    <s v="Pagamento Tattoo"/>
    <x v="1"/>
    <n v="1400"/>
    <x v="29"/>
    <x v="3"/>
    <s v="44181"/>
  </r>
  <r>
    <m/>
    <s v="Flávia"/>
    <s v="Sinal"/>
    <x v="1"/>
    <n v="400"/>
    <x v="29"/>
    <x v="3"/>
    <s v="44181"/>
  </r>
  <r>
    <m/>
    <s v="Fábio Oliver"/>
    <s v="Sinal"/>
    <x v="1"/>
    <n v="1000"/>
    <x v="29"/>
    <x v="3"/>
    <s v="44181"/>
  </r>
  <r>
    <s v="xxx"/>
    <s v="Noca"/>
    <s v="Pagamento Tattoo"/>
    <x v="2"/>
    <n v="1600"/>
    <x v="30"/>
    <x v="3"/>
    <s v="44179"/>
  </r>
  <r>
    <m/>
    <m/>
    <s v="Workshop"/>
    <x v="0"/>
    <n v="1500"/>
    <x v="31"/>
    <x v="3"/>
    <s v="44178"/>
  </r>
  <r>
    <m/>
    <m/>
    <s v="Workshop"/>
    <x v="0"/>
    <n v="1500"/>
    <x v="31"/>
    <x v="3"/>
    <s v="44178"/>
  </r>
  <r>
    <m/>
    <m/>
    <s v="Workshop"/>
    <x v="0"/>
    <n v="1500"/>
    <x v="31"/>
    <x v="3"/>
    <s v="44178"/>
  </r>
  <r>
    <m/>
    <m/>
    <s v="Workshop"/>
    <x v="0"/>
    <n v="1500"/>
    <x v="31"/>
    <x v="3"/>
    <s v="44178"/>
  </r>
  <r>
    <m/>
    <s v="Pedro Couto"/>
    <s v="Sinal"/>
    <x v="2"/>
    <n v="200"/>
    <x v="31"/>
    <x v="3"/>
    <s v="44178"/>
  </r>
  <r>
    <m/>
    <s v="Luciana Nacif da Costa Valle"/>
    <s v="Sinal"/>
    <x v="1"/>
    <n v="200"/>
    <x v="31"/>
    <x v="3"/>
    <s v="44178"/>
  </r>
  <r>
    <n v="50563258802"/>
    <s v="Danielly Pereira Santos"/>
    <s v="Pagamento Tattoo"/>
    <x v="1"/>
    <n v="850"/>
    <x v="32"/>
    <x v="3"/>
    <s v="44177"/>
  </r>
  <r>
    <n v="7202522616"/>
    <s v="Leonardo Oliveira"/>
    <s v="Pagamento Tattoo"/>
    <x v="1"/>
    <n v="1600"/>
    <x v="33"/>
    <x v="3"/>
    <s v="44176"/>
  </r>
  <r>
    <m/>
    <s v="Lucas Gonçalves Cláudio"/>
    <s v="Sinal"/>
    <x v="1"/>
    <n v="300"/>
    <x v="33"/>
    <x v="3"/>
    <s v="44176"/>
  </r>
  <r>
    <n v="9967678607"/>
    <s v="João Gabriel M. Duca"/>
    <s v="Pagamento Tattoo"/>
    <x v="1"/>
    <n v="2400"/>
    <x v="34"/>
    <x v="3"/>
    <s v="44175"/>
  </r>
  <r>
    <m/>
    <s v="Tânia Mara Pereira"/>
    <s v="Sinal"/>
    <x v="1"/>
    <n v="200"/>
    <x v="35"/>
    <x v="3"/>
    <s v="44172"/>
  </r>
  <r>
    <n v="14520617693"/>
    <s v="Vinicius Simões Parentoni"/>
    <s v="Pagamento Tattoo"/>
    <x v="1"/>
    <n v="2800"/>
    <x v="36"/>
    <x v="5"/>
    <s v="44165"/>
  </r>
  <r>
    <n v="7062949630"/>
    <s v="Lucas Miranda de Oliveira"/>
    <s v="Pagamento Tattoo"/>
    <x v="2"/>
    <n v="1800"/>
    <x v="37"/>
    <x v="5"/>
    <s v="44160"/>
  </r>
  <r>
    <m/>
    <s v="Luana Inostrosa Maynart"/>
    <s v="Sinal"/>
    <x v="1"/>
    <n v="50"/>
    <x v="37"/>
    <x v="5"/>
    <s v="44160"/>
  </r>
  <r>
    <n v="9803595628"/>
    <s v="Thayane V. Jesus Carvalho"/>
    <s v="Pagamento Tattoo"/>
    <x v="1"/>
    <n v="2000"/>
    <x v="38"/>
    <x v="5"/>
    <s v="44159"/>
  </r>
  <r>
    <n v="9967678607"/>
    <s v="João Gabriel M. Duca"/>
    <s v="Sinal"/>
    <x v="1"/>
    <n v="200"/>
    <x v="38"/>
    <x v="5"/>
    <s v="44159"/>
  </r>
  <r>
    <m/>
    <s v="Paola Santiago"/>
    <s v="Pagamento Tattoo"/>
    <x v="1"/>
    <n v="1988"/>
    <x v="39"/>
    <x v="5"/>
    <s v="44158"/>
  </r>
  <r>
    <m/>
    <m/>
    <s v="Workshop"/>
    <x v="0"/>
    <n v="1300"/>
    <x v="40"/>
    <x v="5"/>
    <s v="44157"/>
  </r>
  <r>
    <m/>
    <m/>
    <s v="Workshop"/>
    <x v="0"/>
    <n v="1300"/>
    <x v="40"/>
    <x v="5"/>
    <s v="44157"/>
  </r>
  <r>
    <m/>
    <m/>
    <s v="Workshop"/>
    <x v="0"/>
    <n v="1300"/>
    <x v="40"/>
    <x v="5"/>
    <s v="44157"/>
  </r>
  <r>
    <m/>
    <m/>
    <s v="Workshop"/>
    <x v="0"/>
    <n v="1300"/>
    <x v="40"/>
    <x v="5"/>
    <s v="44157"/>
  </r>
  <r>
    <m/>
    <s v="Wellis"/>
    <s v="Pagamento Tattoo"/>
    <x v="1"/>
    <n v="2000"/>
    <x v="41"/>
    <x v="5"/>
    <s v="44155"/>
  </r>
  <r>
    <m/>
    <s v="Luan Assis"/>
    <s v="Sinal"/>
    <x v="1"/>
    <n v="200"/>
    <x v="41"/>
    <x v="5"/>
    <s v="44155"/>
  </r>
  <r>
    <n v="5732712674"/>
    <s v="Sávio Frederico M. Diniz"/>
    <s v="Pagamento Tattoo"/>
    <x v="2"/>
    <n v="2000"/>
    <x v="42"/>
    <x v="5"/>
    <s v="44154"/>
  </r>
  <r>
    <n v="7976796690"/>
    <s v="Guilherme Albuquerque"/>
    <s v="Pagamento Tattoo"/>
    <x v="1"/>
    <n v="1250"/>
    <x v="43"/>
    <x v="5"/>
    <s v="44153"/>
  </r>
  <r>
    <n v="8861693752"/>
    <s v="Warley Cristiano "/>
    <s v="Pagamento Tattoo"/>
    <x v="1"/>
    <n v="2000"/>
    <x v="43"/>
    <x v="5"/>
    <s v="44153"/>
  </r>
  <r>
    <n v="7343003607"/>
    <s v="Iuri Alkimim F."/>
    <s v="Sinal"/>
    <x v="1"/>
    <n v="100"/>
    <x v="44"/>
    <x v="5"/>
    <s v="44152"/>
  </r>
  <r>
    <n v="7343003607"/>
    <s v="Iuri Alkimim F."/>
    <s v="Pagamento Tattoo"/>
    <x v="1"/>
    <n v="300"/>
    <x v="44"/>
    <x v="5"/>
    <s v="44152"/>
  </r>
  <r>
    <n v="7343003607"/>
    <s v="Iuri Alkimim F."/>
    <s v="Pagamento Tattoo"/>
    <x v="2"/>
    <n v="1100"/>
    <x v="44"/>
    <x v="5"/>
    <s v="44152"/>
  </r>
  <r>
    <n v="13677476607"/>
    <s v="Rogerio S."/>
    <s v="Pagamento Tattoo"/>
    <x v="1"/>
    <n v="2000"/>
    <x v="45"/>
    <x v="5"/>
    <s v="44151"/>
  </r>
  <r>
    <n v="2986798683"/>
    <s v="Maria Aparecida Silva M. Castro"/>
    <s v="Pagamento Tattoo"/>
    <x v="1"/>
    <n v="1100"/>
    <x v="45"/>
    <x v="5"/>
    <s v="44151"/>
  </r>
  <r>
    <n v="12961249678"/>
    <s v="Rafael Eufrásio Lopes Dias"/>
    <s v="Pagamento Tattoo"/>
    <x v="1"/>
    <n v="1500"/>
    <x v="46"/>
    <x v="5"/>
    <s v="44148"/>
  </r>
  <r>
    <n v="15535466603"/>
    <s v="Ana Júlia Leite Alves"/>
    <s v="Sinal"/>
    <x v="1"/>
    <n v="50"/>
    <x v="46"/>
    <x v="5"/>
    <s v="44148"/>
  </r>
  <r>
    <m/>
    <s v="Fabiane de Oliveira Silva"/>
    <s v="Sinal"/>
    <x v="1"/>
    <n v="50"/>
    <x v="46"/>
    <x v="5"/>
    <s v="44148"/>
  </r>
  <r>
    <n v="8098342603"/>
    <s v="Breno Penha"/>
    <s v="Sinal"/>
    <x v="2"/>
    <n v="100"/>
    <x v="47"/>
    <x v="5"/>
    <s v="44147"/>
  </r>
  <r>
    <n v="8098342603"/>
    <s v="Breno Penha"/>
    <s v="Pagamento Tattoo"/>
    <x v="2"/>
    <n v="800"/>
    <x v="47"/>
    <x v="5"/>
    <s v="44147"/>
  </r>
  <r>
    <m/>
    <s v="Patricia Nascimento Viega"/>
    <s v="Sinal"/>
    <x v="1"/>
    <n v="100"/>
    <x v="47"/>
    <x v="5"/>
    <s v="44147"/>
  </r>
  <r>
    <n v="8098342603"/>
    <s v="Breno Penha"/>
    <s v="Pagamento Tattoo"/>
    <x v="2"/>
    <n v="1100"/>
    <x v="47"/>
    <x v="5"/>
    <s v="44147"/>
  </r>
  <r>
    <m/>
    <s v="Julio Cesar dos Reis Pena"/>
    <s v="Sinal"/>
    <x v="1"/>
    <n v="400"/>
    <x v="47"/>
    <x v="5"/>
    <s v="44147"/>
  </r>
  <r>
    <m/>
    <s v="Michelle Maria Cordeiro Alves"/>
    <s v="Sinal"/>
    <x v="1"/>
    <n v="100"/>
    <x v="47"/>
    <x v="5"/>
    <s v="44147"/>
  </r>
  <r>
    <n v="10262526603"/>
    <s v="Tomaz Salles de Amorim Pereira"/>
    <s v="Pagamento Tattoo"/>
    <x v="1"/>
    <n v="1850"/>
    <x v="48"/>
    <x v="5"/>
    <s v="44144"/>
  </r>
  <r>
    <m/>
    <s v="Bruno"/>
    <s v="Workshop"/>
    <x v="1"/>
    <n v="1176.1199999999999"/>
    <x v="49"/>
    <x v="5"/>
    <s v="44136"/>
  </r>
  <r>
    <m/>
    <s v="Rayane"/>
    <s v="Workshop"/>
    <x v="2"/>
    <n v="1200"/>
    <x v="49"/>
    <x v="5"/>
    <s v="44136"/>
  </r>
  <r>
    <m/>
    <s v="Saulo (tattoo na mão)"/>
    <s v="Pagamento Tattoo"/>
    <x v="2"/>
    <n v="700"/>
    <x v="50"/>
    <x v="5"/>
    <s v="44141"/>
  </r>
  <r>
    <m/>
    <s v="Daniel"/>
    <s v="Workshop"/>
    <x v="2"/>
    <n v="1200"/>
    <x v="49"/>
    <x v="5"/>
    <s v="44136"/>
  </r>
  <r>
    <m/>
    <s v="Lídia Diniz"/>
    <s v="Workshop"/>
    <x v="2"/>
    <n v="1200"/>
    <x v="49"/>
    <x v="5"/>
    <s v="44136"/>
  </r>
  <r>
    <m/>
    <s v="Lucas Cavaleiro"/>
    <s v="Pagamento Tattoo"/>
    <x v="2"/>
    <n v="4145"/>
    <x v="50"/>
    <x v="5"/>
    <s v="44141"/>
  </r>
  <r>
    <m/>
    <s v="Cézar "/>
    <s v="Workshop"/>
    <x v="2"/>
    <n v="1200"/>
    <x v="51"/>
    <x v="6"/>
    <s v="44135"/>
  </r>
  <r>
    <m/>
    <s v="Vitor"/>
    <s v="Workshop"/>
    <x v="2"/>
    <n v="1200"/>
    <x v="51"/>
    <x v="6"/>
    <s v="44135"/>
  </r>
  <r>
    <m/>
    <s v="Rodrigo"/>
    <s v="Workshop"/>
    <x v="2"/>
    <n v="1200"/>
    <x v="51"/>
    <x v="6"/>
    <s v="44135"/>
  </r>
  <r>
    <m/>
    <s v="Victor Aredes"/>
    <s v="Workshop"/>
    <x v="2"/>
    <n v="1300"/>
    <x v="51"/>
    <x v="6"/>
    <s v="44135"/>
  </r>
  <r>
    <m/>
    <s v="Amanda"/>
    <s v="Sinal"/>
    <x v="1"/>
    <n v="100"/>
    <x v="50"/>
    <x v="5"/>
    <s v="44141"/>
  </r>
  <r>
    <n v="1241530629"/>
    <s v="Luis Henrique Soares Pena"/>
    <s v="Pagamento Tattoo"/>
    <x v="1"/>
    <n v="980.1"/>
    <x v="52"/>
    <x v="5"/>
    <s v="44140"/>
  </r>
  <r>
    <n v="6157917901"/>
    <s v="Hosana Lopes Durães Andrade"/>
    <s v="Pagamento Tattoo"/>
    <x v="2"/>
    <n v="200"/>
    <x v="52"/>
    <x v="5"/>
    <s v="44140"/>
  </r>
  <r>
    <n v="14991385636"/>
    <s v="Milena Durães de Andrade"/>
    <s v="Pagamento Tattoo"/>
    <x v="2"/>
    <n v="350"/>
    <x v="52"/>
    <x v="5"/>
    <s v="44140"/>
  </r>
  <r>
    <m/>
    <s v="Noelson Vieira Costa"/>
    <s v="Sinal"/>
    <x v="1"/>
    <n v="200"/>
    <x v="53"/>
    <x v="5"/>
    <s v="44139"/>
  </r>
  <r>
    <n v="3768642658"/>
    <s v="André Luis Carvalho"/>
    <s v="Pagamento Tattoo"/>
    <x v="2"/>
    <n v="1800"/>
    <x v="53"/>
    <x v="5"/>
    <s v="44139"/>
  </r>
  <r>
    <m/>
    <s v="Anny"/>
    <s v="Sinal"/>
    <x v="1"/>
    <n v="50"/>
    <x v="54"/>
    <x v="5"/>
    <s v="44138"/>
  </r>
  <r>
    <n v="5732712674"/>
    <s v="Sávio Frederico M. Diniz"/>
    <s v="Pagamento Tattoo"/>
    <x v="2"/>
    <n v="1800"/>
    <x v="54"/>
    <x v="5"/>
    <s v="44138"/>
  </r>
  <r>
    <m/>
    <s v="Paola Santiago"/>
    <s v="Pagamento Tattoo"/>
    <x v="1"/>
    <n v="1900"/>
    <x v="55"/>
    <x v="5"/>
    <s v="44137"/>
  </r>
  <r>
    <m/>
    <s v="Brunno Cesar"/>
    <s v="Sinal"/>
    <x v="1"/>
    <n v="200"/>
    <x v="55"/>
    <x v="5"/>
    <s v="44137"/>
  </r>
  <r>
    <m/>
    <s v="Camila"/>
    <s v="Sinal"/>
    <x v="1"/>
    <n v="50"/>
    <x v="56"/>
    <x v="6"/>
    <s v="44134"/>
  </r>
  <r>
    <m/>
    <s v="Hudson Alves"/>
    <s v="Sinal"/>
    <x v="1"/>
    <n v="200"/>
    <x v="57"/>
    <x v="6"/>
    <s v="44133"/>
  </r>
  <r>
    <m/>
    <s v="Bruno Tolentino"/>
    <s v="Pagamento Tattoo"/>
    <x v="1"/>
    <n v="1600"/>
    <x v="57"/>
    <x v="6"/>
    <s v="44133"/>
  </r>
  <r>
    <m/>
    <s v="Lucas (pobre)"/>
    <s v="Pagamento"/>
    <x v="2"/>
    <n v="2000"/>
    <x v="57"/>
    <x v="6"/>
    <s v="44133"/>
  </r>
  <r>
    <m/>
    <s v="Arthur"/>
    <s v="Sinal"/>
    <x v="1"/>
    <n v="400"/>
    <x v="58"/>
    <x v="6"/>
    <s v="44132"/>
  </r>
  <r>
    <m/>
    <s v="Rose"/>
    <s v="Sinal"/>
    <x v="1"/>
    <n v="200"/>
    <x v="58"/>
    <x v="6"/>
    <s v="44132"/>
  </r>
  <r>
    <m/>
    <s v="Izabella"/>
    <s v="Pagamento Tattoo"/>
    <x v="2"/>
    <n v="750"/>
    <x v="59"/>
    <x v="6"/>
    <s v="44130"/>
  </r>
  <r>
    <m/>
    <s v="Sergio"/>
    <s v="Pagamento Tattoo"/>
    <x v="2"/>
    <n v="1700"/>
    <x v="59"/>
    <x v="6"/>
    <s v="44130"/>
  </r>
  <r>
    <m/>
    <s v="marinela "/>
    <s v="Pagamento Tattoo"/>
    <x v="2"/>
    <n v="500"/>
    <x v="60"/>
    <x v="6"/>
    <s v="44127"/>
  </r>
  <r>
    <n v="5438417660"/>
    <s v="Fabíola Botellho"/>
    <s v="Sinal"/>
    <x v="1"/>
    <n v="200"/>
    <x v="61"/>
    <x v="6"/>
    <s v="44126"/>
  </r>
  <r>
    <n v="5438417660"/>
    <s v="Fabíola Botellho"/>
    <s v="Pagamento Tattoo"/>
    <x v="1"/>
    <n v="2300"/>
    <x v="61"/>
    <x v="6"/>
    <s v="44126"/>
  </r>
  <r>
    <n v="9490638609"/>
    <s v="Erika Rabelo Diniz"/>
    <s v="Pagamento Tattoo"/>
    <x v="1"/>
    <n v="530"/>
    <x v="62"/>
    <x v="6"/>
    <s v="44125"/>
  </r>
  <r>
    <n v="9490638609"/>
    <s v="Erika Rabelo Diniz"/>
    <s v="Pagamento Tattoo"/>
    <x v="2"/>
    <n v="1000"/>
    <x v="62"/>
    <x v="6"/>
    <s v="44125"/>
  </r>
  <r>
    <m/>
    <s v="Athos"/>
    <s v="Pagamento Tattoo *descontado a conta paga"/>
    <x v="1"/>
    <n v="600"/>
    <x v="63"/>
    <x v="6"/>
    <s v="44124"/>
  </r>
  <r>
    <m/>
    <s v="Athos"/>
    <s v="Pagamento Tattoo"/>
    <x v="2"/>
    <n v="1000"/>
    <x v="63"/>
    <x v="6"/>
    <s v="44124"/>
  </r>
  <r>
    <m/>
    <s v="Bruno Tolentino"/>
    <s v="Sinal"/>
    <x v="1"/>
    <n v="100"/>
    <x v="64"/>
    <x v="6"/>
    <s v="44123"/>
  </r>
  <r>
    <m/>
    <s v="Stephanie da Cunha Calmon"/>
    <s v="Pagamento Tattoo"/>
    <x v="1"/>
    <n v="330"/>
    <x v="64"/>
    <x v="6"/>
    <s v="44123"/>
  </r>
  <r>
    <n v="4857846616"/>
    <s v="David Geraldo"/>
    <s v="Pagamento Tattoo"/>
    <x v="2"/>
    <n v="1400"/>
    <x v="65"/>
    <x v="6"/>
    <s v="44120"/>
  </r>
  <r>
    <m/>
    <s v="Stephanie da Cunha Calmon"/>
    <s v="Sinal"/>
    <x v="1"/>
    <n v="100"/>
    <x v="66"/>
    <x v="6"/>
    <s v="44119"/>
  </r>
  <r>
    <n v="13342961627"/>
    <s v="Igor Elisque Barreto"/>
    <s v="Pagamento Tattoo"/>
    <x v="2"/>
    <n v="1400"/>
    <x v="66"/>
    <x v="6"/>
    <s v="44119"/>
  </r>
  <r>
    <n v="6561635698"/>
    <s v="Guilherme Rodrigues Batista"/>
    <s v="Pagamento Tattoo"/>
    <x v="1"/>
    <n v="320"/>
    <x v="67"/>
    <x v="6"/>
    <s v="44117"/>
  </r>
  <r>
    <n v="6561635698"/>
    <s v="Guilherme Rodrigues Batista"/>
    <s v="Pagamento Tattoo"/>
    <x v="2"/>
    <n v="1080"/>
    <x v="67"/>
    <x v="6"/>
    <s v="44117"/>
  </r>
  <r>
    <m/>
    <s v="Daniele Rezende"/>
    <s v="Sinal"/>
    <x v="1"/>
    <n v="100"/>
    <x v="67"/>
    <x v="6"/>
    <s v="44117"/>
  </r>
  <r>
    <n v="6786093655"/>
    <s v="Daniel Henriques da Silva"/>
    <s v="Pagamento Tattoo"/>
    <x v="2"/>
    <n v="1700"/>
    <x v="68"/>
    <x v="6"/>
    <s v="44116"/>
  </r>
  <r>
    <n v="1140826603"/>
    <s v="Jonas Andrade"/>
    <s v="Pagamento Tattoo"/>
    <x v="2"/>
    <n v="1400"/>
    <x v="69"/>
    <x v="6"/>
    <s v="44114"/>
  </r>
  <r>
    <n v="1659133637"/>
    <s v="Jaísa Santana"/>
    <s v="Pagamento Tattoo"/>
    <x v="1"/>
    <n v="650"/>
    <x v="70"/>
    <x v="6"/>
    <s v="44112"/>
  </r>
  <r>
    <n v="13325707637"/>
    <s v="Tiago Moreira Alves Reis"/>
    <s v="Pagamento Tattoo"/>
    <x v="1"/>
    <n v="1600"/>
    <x v="70"/>
    <x v="6"/>
    <s v="44112"/>
  </r>
  <r>
    <m/>
    <s v="Matheus Calembo"/>
    <s v="Sinal"/>
    <x v="1"/>
    <n v="100"/>
    <x v="71"/>
    <x v="6"/>
    <s v="44111"/>
  </r>
  <r>
    <n v="11325327603"/>
    <s v="Diego Alves Melo Reis"/>
    <s v="Pagamento Tattoo"/>
    <x v="1"/>
    <n v="600"/>
    <x v="72"/>
    <x v="6"/>
    <s v="44110"/>
  </r>
  <r>
    <n v="11325327603"/>
    <s v="Diego Alves Melo Reis"/>
    <s v="Pagamento Tattoo"/>
    <x v="2"/>
    <n v="1000"/>
    <x v="72"/>
    <x v="6"/>
    <s v="44110"/>
  </r>
  <r>
    <n v="15964889727"/>
    <s v="Victoria Fontes"/>
    <s v="Pagamento Tattoo"/>
    <x v="1"/>
    <n v="400"/>
    <x v="72"/>
    <x v="6"/>
    <s v="44110"/>
  </r>
  <r>
    <m/>
    <s v="Monique Ribeiro Gomes"/>
    <s v="Pagamento Tattoo"/>
    <x v="1"/>
    <n v="1300"/>
    <x v="72"/>
    <x v="6"/>
    <s v="44110"/>
  </r>
  <r>
    <m/>
    <s v="STENIO GONTIJO DE LACERDA (Carol)"/>
    <s v="Sinal"/>
    <x v="1"/>
    <n v="100"/>
    <x v="72"/>
    <x v="6"/>
    <s v="44110"/>
  </r>
  <r>
    <m/>
    <s v="Joyce Mendes"/>
    <s v="Sinal"/>
    <x v="1"/>
    <n v="100"/>
    <x v="72"/>
    <x v="6"/>
    <s v="44110"/>
  </r>
  <r>
    <n v="6115222680"/>
    <s v="Luis Felipe de Castro"/>
    <s v="Pagamento Tattoo"/>
    <x v="2"/>
    <n v="2000"/>
    <x v="73"/>
    <x v="6"/>
    <s v="44106"/>
  </r>
  <r>
    <m/>
    <s v="Maria Aparecida Silva M. Castro"/>
    <s v="Sinal"/>
    <x v="1"/>
    <n v="100"/>
    <x v="73"/>
    <x v="6"/>
    <s v="44106"/>
  </r>
  <r>
    <n v="12474237607"/>
    <s v="Daniel Nunes"/>
    <s v="Pagamento Tattoo"/>
    <x v="1"/>
    <n v="750"/>
    <x v="73"/>
    <x v="6"/>
    <s v="44106"/>
  </r>
  <r>
    <n v="9721475602"/>
    <s v="Mariana T. de Souza Reis"/>
    <s v="Pagamento Tattoo"/>
    <x v="1"/>
    <n v="450"/>
    <x v="73"/>
    <x v="6"/>
    <s v="44106"/>
  </r>
  <r>
    <m/>
    <s v="Eliane da Silva Mapa"/>
    <s v="Sinal"/>
    <x v="1"/>
    <n v="50"/>
    <x v="73"/>
    <x v="6"/>
    <s v="44106"/>
  </r>
  <r>
    <n v="1659133637"/>
    <s v="Jaísa Santana"/>
    <s v="Sinal"/>
    <x v="1"/>
    <n v="50"/>
    <x v="74"/>
    <x v="6"/>
    <s v="44105"/>
  </r>
  <r>
    <n v="8118091619"/>
    <s v="Gisele Muniz de Andrade"/>
    <s v="Pagamento Tattoo"/>
    <x v="2"/>
    <n v="650"/>
    <x v="74"/>
    <x v="6"/>
    <s v="44105"/>
  </r>
  <r>
    <m/>
    <s v="Cesar Augusto"/>
    <s v="Sinal"/>
    <x v="1"/>
    <n v="200"/>
    <x v="75"/>
    <x v="4"/>
    <s v="44104"/>
  </r>
  <r>
    <n v="8118091619"/>
    <s v="Gisele Muniz de Andrade"/>
    <s v="Sinal"/>
    <x v="1"/>
    <n v="50"/>
    <x v="75"/>
    <x v="4"/>
    <s v="44104"/>
  </r>
  <r>
    <m/>
    <s v="Julia"/>
    <s v="Sinal"/>
    <x v="1"/>
    <n v="200"/>
    <x v="75"/>
    <x v="4"/>
    <s v="44104"/>
  </r>
  <r>
    <n v="7062949630"/>
    <s v="Lucas Miranda de Oliveira"/>
    <s v="Pagamento Tattoo"/>
    <x v="2"/>
    <n v="1500"/>
    <x v="76"/>
    <x v="4"/>
    <s v="44103"/>
  </r>
  <r>
    <m/>
    <s v="Christiano Teixeira"/>
    <s v="Sinal"/>
    <x v="1"/>
    <n v="200"/>
    <x v="76"/>
    <x v="4"/>
    <s v="44103"/>
  </r>
  <r>
    <n v="1406803650"/>
    <s v="Ariani de Mello"/>
    <s v="Pagamento Tattoo"/>
    <x v="1"/>
    <n v="300"/>
    <x v="77"/>
    <x v="4"/>
    <s v="44102"/>
  </r>
  <r>
    <n v="7650303659"/>
    <s v="Christiano Gouveia"/>
    <s v="Pagamento Tattoo"/>
    <x v="2"/>
    <n v="650"/>
    <x v="77"/>
    <x v="4"/>
    <s v="44102"/>
  </r>
  <r>
    <m/>
    <s v="Júnior Araújo"/>
    <s v="Sinal"/>
    <x v="1"/>
    <n v="200"/>
    <x v="78"/>
    <x v="4"/>
    <s v="44099"/>
  </r>
  <r>
    <n v="4857846616"/>
    <s v="David Geraldo"/>
    <s v="Pagamento Tattoo"/>
    <x v="1"/>
    <n v="1900"/>
    <x v="78"/>
    <x v="4"/>
    <s v="44099"/>
  </r>
  <r>
    <m/>
    <s v="Eliseu Pedro"/>
    <s v="Sinal"/>
    <x v="1"/>
    <n v="200"/>
    <x v="78"/>
    <x v="4"/>
    <s v="44099"/>
  </r>
  <r>
    <n v="7650303659"/>
    <s v="Christiano Gouveia"/>
    <s v="Sinal"/>
    <x v="1"/>
    <n v="50"/>
    <x v="23"/>
    <x v="4"/>
    <s v="44098"/>
  </r>
  <r>
    <m/>
    <s v="Sean Michael Banker"/>
    <s v="Sinal"/>
    <x v="1"/>
    <n v="200"/>
    <x v="23"/>
    <x v="4"/>
    <s v="44098"/>
  </r>
  <r>
    <n v="13263719670"/>
    <s v="Brenda Mirieli"/>
    <s v="Pagamento Tattoo"/>
    <x v="2"/>
    <n v="1500"/>
    <x v="23"/>
    <x v="4"/>
    <s v="44098"/>
  </r>
  <r>
    <m/>
    <s v="Davi Pires Quirino"/>
    <s v="Sinal"/>
    <x v="1"/>
    <n v="200"/>
    <x v="23"/>
    <x v="4"/>
    <s v="44098"/>
  </r>
  <r>
    <m/>
    <s v="Walter"/>
    <s v="Sinal"/>
    <x v="1"/>
    <n v="200"/>
    <x v="23"/>
    <x v="4"/>
    <s v="44098"/>
  </r>
  <r>
    <m/>
    <s v="Luiza Simões Azevedo"/>
    <s v="Sinal"/>
    <x v="1"/>
    <n v="50"/>
    <x v="79"/>
    <x v="4"/>
    <s v="44097"/>
  </r>
  <r>
    <n v="11060770679"/>
    <s v="Walter Prates"/>
    <s v="Pagamento Tattoo"/>
    <x v="1"/>
    <n v="1500"/>
    <x v="79"/>
    <x v="4"/>
    <s v="44097"/>
  </r>
  <r>
    <n v="10262526603"/>
    <s v="Tomaz Salles de Amorim Pereira"/>
    <s v="Sinal"/>
    <x v="1"/>
    <n v="200"/>
    <x v="80"/>
    <x v="4"/>
    <s v="44096"/>
  </r>
  <r>
    <m/>
    <s v="Henrique Carvalho"/>
    <s v="Sinal"/>
    <x v="1"/>
    <n v="200"/>
    <x v="80"/>
    <x v="4"/>
    <s v="44096"/>
  </r>
  <r>
    <m/>
    <s v="Ana Carolina"/>
    <s v="Sinal"/>
    <x v="1"/>
    <n v="200"/>
    <x v="80"/>
    <x v="4"/>
    <s v="44096"/>
  </r>
  <r>
    <n v="8861693752"/>
    <s v="Warley Cristiano "/>
    <s v="Pagamento Tattoo"/>
    <x v="1"/>
    <n v="2000"/>
    <x v="80"/>
    <x v="4"/>
    <s v="44096"/>
  </r>
  <r>
    <m/>
    <s v="Passaram no cartão"/>
    <s v="..."/>
    <x v="1"/>
    <n v="29.4"/>
    <x v="80"/>
    <x v="4"/>
    <s v="44096"/>
  </r>
  <r>
    <n v="6140914620"/>
    <s v="Henrique Cardoso de Souza"/>
    <s v="Sinal"/>
    <x v="2"/>
    <n v="100"/>
    <x v="80"/>
    <x v="4"/>
    <s v="44096"/>
  </r>
  <r>
    <n v="10610263617"/>
    <s v="Jean Lucas Alves Ruffini"/>
    <s v="Sinal"/>
    <x v="1"/>
    <n v="200"/>
    <x v="81"/>
    <x v="4"/>
    <s v="44095"/>
  </r>
  <r>
    <m/>
    <s v="Bruno Malta"/>
    <s v="Sinal"/>
    <x v="1"/>
    <n v="200"/>
    <x v="81"/>
    <x v="4"/>
    <s v="44095"/>
  </r>
  <r>
    <n v="6140914620"/>
    <s v="Henrique Cardoso de Souza"/>
    <s v="Pagamento Tattoo"/>
    <x v="1"/>
    <n v="1900"/>
    <x v="81"/>
    <x v="4"/>
    <s v="44095"/>
  </r>
  <r>
    <n v="11524890626"/>
    <s v="Mariana Lorraine"/>
    <s v="Pagamento Tattoo"/>
    <x v="1"/>
    <n v="250"/>
    <x v="82"/>
    <x v="4"/>
    <s v="44092"/>
  </r>
  <r>
    <n v="6558428610"/>
    <s v="Marcelo Maia Teodoro"/>
    <s v="Pagamento Tattoo"/>
    <x v="1"/>
    <n v="500"/>
    <x v="83"/>
    <x v="4"/>
    <s v="44091"/>
  </r>
  <r>
    <n v="6558428610"/>
    <s v="Marcelo Maia Teodoro"/>
    <s v="Pagamento Tattoo"/>
    <x v="1"/>
    <n v="1000"/>
    <x v="83"/>
    <x v="4"/>
    <s v="44091"/>
  </r>
  <r>
    <m/>
    <s v="Bruno Maia Alves da Costa"/>
    <s v="Sinal"/>
    <x v="1"/>
    <n v="50"/>
    <x v="83"/>
    <x v="4"/>
    <s v="44091"/>
  </r>
  <r>
    <m/>
    <s v="Izabella Pimenta Alkmim"/>
    <s v="Sinal"/>
    <x v="1"/>
    <n v="100"/>
    <x v="83"/>
    <x v="4"/>
    <s v="44091"/>
  </r>
  <r>
    <n v="13927166677"/>
    <s v="Luísa Siqueira Tarquinio"/>
    <s v="Sinal"/>
    <x v="1"/>
    <n v="50"/>
    <x v="83"/>
    <x v="4"/>
    <s v="44091"/>
  </r>
  <r>
    <n v="13927166677"/>
    <s v="Luísa Siqueira Tarquinio"/>
    <s v="Sinal"/>
    <x v="1"/>
    <n v="50"/>
    <x v="83"/>
    <x v="4"/>
    <s v="44091"/>
  </r>
  <r>
    <n v="5608216628"/>
    <s v="Bruno Martins"/>
    <s v="Sinal"/>
    <x v="1"/>
    <n v="588.05999999999995"/>
    <x v="84"/>
    <x v="4"/>
    <s v="44090"/>
  </r>
  <r>
    <m/>
    <s v="Bruno Maia Alves da Costa"/>
    <s v="Sinal"/>
    <x v="1"/>
    <n v="50"/>
    <x v="84"/>
    <x v="4"/>
    <s v="44090"/>
  </r>
  <r>
    <n v="5608216628"/>
    <s v="Bruno Martins"/>
    <s v="Pagamento Tattoo"/>
    <x v="2"/>
    <n v="1700"/>
    <x v="84"/>
    <x v="4"/>
    <s v="44090"/>
  </r>
  <r>
    <n v="13342961627"/>
    <s v="Igor Elisque Barreto"/>
    <s v="Pagamento Tattoo"/>
    <x v="1"/>
    <n v="200"/>
    <x v="85"/>
    <x v="4"/>
    <s v="44089"/>
  </r>
  <r>
    <n v="13342961627"/>
    <s v="Igor Elisque Barreto"/>
    <s v="Pagamento Tattoo"/>
    <x v="2"/>
    <n v="1200"/>
    <x v="85"/>
    <x v="4"/>
    <s v="44089"/>
  </r>
  <r>
    <m/>
    <s v="Pedro Henrique"/>
    <s v="Sinal"/>
    <x v="1"/>
    <n v="100"/>
    <x v="86"/>
    <x v="4"/>
    <s v="44088"/>
  </r>
  <r>
    <n v="4689078661"/>
    <s v="Ana Carolina Garcia Braga"/>
    <s v="Pagamento Tattoo"/>
    <x v="1"/>
    <n v="2300"/>
    <x v="87"/>
    <x v="4"/>
    <s v="44085"/>
  </r>
  <r>
    <n v="7980096673"/>
    <s v="Lucas Candido"/>
    <s v="Pagamento Tattoo"/>
    <x v="1"/>
    <n v="1400"/>
    <x v="88"/>
    <x v="4"/>
    <s v="44084"/>
  </r>
  <r>
    <n v="64830578653"/>
    <s v="Luisa Diniz"/>
    <s v="Pagamento Tattoo"/>
    <x v="1"/>
    <n v="1900"/>
    <x v="89"/>
    <x v="4"/>
    <s v="44083"/>
  </r>
  <r>
    <m/>
    <s v="Deyse (latina)"/>
    <s v="Sinal"/>
    <x v="1"/>
    <n v="50"/>
    <x v="90"/>
    <x v="4"/>
    <s v="44082"/>
  </r>
  <r>
    <s v="142.638.536-60"/>
    <s v="Yves"/>
    <s v="Sinal"/>
    <x v="1"/>
    <n v="200"/>
    <x v="90"/>
    <x v="4"/>
    <s v="44082"/>
  </r>
  <r>
    <n v="7062949630"/>
    <s v="Lucas Miranda de Oliveira"/>
    <s v="Sinal"/>
    <x v="2"/>
    <n v="100"/>
    <x v="90"/>
    <x v="4"/>
    <s v="44082"/>
  </r>
  <r>
    <n v="7062949630"/>
    <s v="Lucas Miranda de Oliveira"/>
    <s v="Pagamento Tattoo"/>
    <x v="2"/>
    <n v="1400"/>
    <x v="90"/>
    <x v="4"/>
    <s v="44082"/>
  </r>
  <r>
    <m/>
    <s v="Pablo Dias"/>
    <s v="Pagamento Tattoo"/>
    <x v="1"/>
    <n v="1380"/>
    <x v="91"/>
    <x v="4"/>
    <s v="44081"/>
  </r>
  <r>
    <n v="5438417660"/>
    <s v="Fabiola Teixeira Botelho"/>
    <s v="Sinal"/>
    <x v="1"/>
    <n v="200"/>
    <x v="92"/>
    <x v="4"/>
    <s v="44078"/>
  </r>
  <r>
    <n v="7434633662"/>
    <s v="Lucas Amancio Goulart"/>
    <s v="Pagamento Tattoo"/>
    <x v="2"/>
    <n v="200"/>
    <x v="92"/>
    <x v="4"/>
    <s v="44078"/>
  </r>
  <r>
    <m/>
    <s v="Ressarcimento Comercial"/>
    <s v="..."/>
    <x v="1"/>
    <n v="77.040000000000006"/>
    <x v="93"/>
    <x v="4"/>
    <s v="44077"/>
  </r>
  <r>
    <n v="5339787699"/>
    <s v="Fabiana Marques de Castro"/>
    <s v="Pagamento Tattoo"/>
    <x v="2"/>
    <n v="900"/>
    <x v="93"/>
    <x v="4"/>
    <s v="44077"/>
  </r>
  <r>
    <n v="9956277622"/>
    <s v="Thassio"/>
    <s v="Pagamento Tattoo"/>
    <x v="1"/>
    <n v="1200"/>
    <x v="93"/>
    <x v="4"/>
    <s v="44077"/>
  </r>
  <r>
    <n v="11060770679"/>
    <s v="Walter Prates da Silva Junior"/>
    <s v="Pagamento Tattoo"/>
    <x v="2"/>
    <n v="650"/>
    <x v="94"/>
    <x v="4"/>
    <s v="44076"/>
  </r>
  <r>
    <n v="6115222680"/>
    <s v="Luis Felipe de Castro"/>
    <s v="Sinal"/>
    <x v="2"/>
    <n v="200"/>
    <x v="94"/>
    <x v="4"/>
    <s v="44076"/>
  </r>
  <r>
    <m/>
    <s v="Jayme "/>
    <s v="Pagamento Tattoo"/>
    <x v="2"/>
    <n v="1000"/>
    <x v="94"/>
    <x v="4"/>
    <s v="44076"/>
  </r>
  <r>
    <n v="5339787699"/>
    <s v="Fabiana Marques de Castro"/>
    <s v="Sinal"/>
    <x v="1"/>
    <n v="100"/>
    <x v="95"/>
    <x v="4"/>
    <s v="44075"/>
  </r>
  <r>
    <n v="9299273707"/>
    <s v="Denise Mitiko Mirco Sugihara"/>
    <s v="Sinal"/>
    <x v="1"/>
    <n v="90"/>
    <x v="96"/>
    <x v="7"/>
    <s v="44074"/>
  </r>
  <r>
    <n v="9299273707"/>
    <s v="Denise Mitiko Mirco Sugihara"/>
    <s v="Pagamento Tattoo"/>
    <x v="1"/>
    <n v="1400"/>
    <x v="96"/>
    <x v="7"/>
    <s v="44074"/>
  </r>
  <r>
    <m/>
    <s v="Mayra Carvalho Albuquerque"/>
    <s v="Sinal"/>
    <x v="1"/>
    <n v="100"/>
    <x v="97"/>
    <x v="7"/>
    <s v="44071"/>
  </r>
  <r>
    <n v="3523189616"/>
    <s v="Rafael Tadeu"/>
    <s v="Pagamento Tattoo"/>
    <x v="2"/>
    <n v="1600"/>
    <x v="98"/>
    <x v="7"/>
    <s v="44070"/>
  </r>
  <r>
    <n v="9659934696"/>
    <s v="Bruna Nascimento"/>
    <s v="Pagamento Tattoo"/>
    <x v="1"/>
    <n v="1100"/>
    <x v="99"/>
    <x v="7"/>
    <s v="4406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132970-F0A3-4EEE-B757-06A91C7D5CC8}" name="Tabela dinâmica8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3:R78" firstHeaderRow="1" firstDataRow="3" firstDataCol="1"/>
  <pivotFields count="9"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dataField="1" showAll="0"/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9">
        <item x="7"/>
        <item x="4"/>
        <item x="6"/>
        <item sd="0" x="5"/>
        <item x="0"/>
        <item sd="0" x="3"/>
        <item x="2"/>
        <item x="1"/>
        <item t="default"/>
      </items>
    </pivotField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3"/>
  </rowFields>
  <rowItems count="3">
    <i>
      <x/>
    </i>
    <i>
      <x v="1"/>
    </i>
    <i t="grand">
      <x/>
    </i>
  </rowItems>
  <colFields count="2">
    <field x="6"/>
    <field x="5"/>
  </colFields>
  <colItems count="17">
    <i>
      <x v="5"/>
    </i>
    <i>
      <x v="6"/>
      <x v="4"/>
    </i>
    <i r="1">
      <x v="5"/>
    </i>
    <i r="1">
      <x v="6"/>
    </i>
    <i r="1">
      <x v="7"/>
    </i>
    <i r="1">
      <x v="8"/>
    </i>
    <i r="1">
      <x v="13"/>
    </i>
    <i r="1">
      <x v="14"/>
    </i>
    <i r="1">
      <x v="18"/>
    </i>
    <i r="1">
      <x v="20"/>
    </i>
    <i r="1">
      <x v="21"/>
    </i>
    <i r="1">
      <x v="23"/>
    </i>
    <i r="1">
      <x v="25"/>
    </i>
    <i r="1">
      <x v="26"/>
    </i>
    <i r="1">
      <x v="27"/>
    </i>
    <i t="default">
      <x v="6"/>
    </i>
    <i t="grand">
      <x/>
    </i>
  </colItems>
  <dataFields count="1">
    <dataField name="Mês de Janeiro" fld="4" baseField="0" baseItem="0"/>
  </dataFields>
  <formats count="12">
    <format dxfId="51">
      <pivotArea type="all" dataOnly="0" outline="0" fieldPosition="0"/>
    </format>
    <format dxfId="50">
      <pivotArea type="all" dataOnly="0" outline="0" fieldPosition="0"/>
    </format>
    <format dxfId="49">
      <pivotArea outline="0" collapsedLevelsAreSubtotals="1" fieldPosition="0"/>
    </format>
    <format dxfId="48">
      <pivotArea type="origin" dataOnly="0" labelOnly="1" outline="0" fieldPosition="0"/>
    </format>
    <format dxfId="47">
      <pivotArea field="6" type="button" dataOnly="0" labelOnly="1" outline="0" axis="axisCol" fieldPosition="0"/>
    </format>
    <format dxfId="46">
      <pivotArea field="5" type="button" dataOnly="0" labelOnly="1" outline="0" axis="axisCol" fieldPosition="1"/>
    </format>
    <format dxfId="45">
      <pivotArea type="topRight" dataOnly="0" labelOnly="1" outline="0" fieldPosition="0"/>
    </format>
    <format dxfId="44">
      <pivotArea field="3" type="button" dataOnly="0" labelOnly="1" outline="0" axis="axisRow" fieldPosition="0"/>
    </format>
    <format dxfId="43">
      <pivotArea dataOnly="0" labelOnly="1" fieldPosition="0">
        <references count="1">
          <reference field="3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1">
          <reference field="6" count="2">
            <x v="2"/>
            <x v="3"/>
          </reference>
        </references>
      </pivotArea>
    </format>
    <format dxfId="40">
      <pivotArea dataOnly="0" labelOnly="1" grandCol="1" outline="0" fieldPosition="0"/>
    </format>
  </formats>
  <pivotTableStyleInfo name="PivotStyleLight16" showRowHeaders="1" showColHeaders="1" showRowStripes="0" showColStripes="0" showLastColumn="1"/>
  <filters count="1">
    <filter fld="5" type="dateBetween" evalOrder="-1" id="4">
      <autoFilter ref="A1">
        <filterColumn colId="0">
          <customFilters and="1">
            <customFilter operator="greaterThanOrEqual" val="44191"/>
            <customFilter operator="lessThanOrEqual" val="4422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F96C53-108E-4C03-850D-346CE3CA2ECA}" name="Tabela dinâ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64:D70" firstHeaderRow="1" firstDataRow="3" firstDataCol="1"/>
  <pivotFields count="9"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dataField="1" showAll="0"/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9">
        <item x="7"/>
        <item x="4"/>
        <item x="6"/>
        <item sd="0" x="5"/>
        <item x="0"/>
        <item sd="0" x="3"/>
        <item x="2"/>
        <item x="1"/>
        <item t="default"/>
      </items>
    </pivotField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2">
    <field x="6"/>
    <field x="5"/>
  </colFields>
  <colItems count="3">
    <i>
      <x v="3"/>
    </i>
    <i>
      <x v="5"/>
    </i>
    <i t="grand">
      <x/>
    </i>
  </colItems>
  <dataFields count="1">
    <dataField name="Mês de Dezembro" fld="4" baseField="0" baseItem="0"/>
  </dataFields>
  <formats count="11">
    <format dxfId="62">
      <pivotArea type="all" dataOnly="0" outline="0" fieldPosition="0"/>
    </format>
    <format dxfId="61">
      <pivotArea outline="0" collapsedLevelsAreSubtotals="1" fieldPosition="0"/>
    </format>
    <format dxfId="60">
      <pivotArea type="origin" dataOnly="0" labelOnly="1" outline="0" fieldPosition="0"/>
    </format>
    <format dxfId="59">
      <pivotArea field="6" type="button" dataOnly="0" labelOnly="1" outline="0" axis="axisCol" fieldPosition="0"/>
    </format>
    <format dxfId="58">
      <pivotArea field="5" type="button" dataOnly="0" labelOnly="1" outline="0" axis="axisCol" fieldPosition="1"/>
    </format>
    <format dxfId="57">
      <pivotArea type="topRight" dataOnly="0" labelOnly="1" outline="0" fieldPosition="0"/>
    </format>
    <format dxfId="56">
      <pivotArea field="3" type="button" dataOnly="0" labelOnly="1" outline="0" axis="axisRow" fieldPosition="0"/>
    </format>
    <format dxfId="55">
      <pivotArea dataOnly="0" labelOnly="1" fieldPosition="0">
        <references count="1">
          <reference field="3" count="0"/>
        </references>
      </pivotArea>
    </format>
    <format dxfId="54">
      <pivotArea dataOnly="0" labelOnly="1" grandRow="1" outline="0" fieldPosition="0"/>
    </format>
    <format dxfId="53">
      <pivotArea dataOnly="0" labelOnly="1" fieldPosition="0">
        <references count="1">
          <reference field="6" count="2">
            <x v="3"/>
            <x v="5"/>
          </reference>
        </references>
      </pivotArea>
    </format>
    <format dxfId="52">
      <pivotArea dataOnly="0" labelOnly="1" grandCol="1" outline="0" fieldPosition="0"/>
    </format>
  </formats>
  <pivotTableStyleInfo name="PivotStyleLight16" showRowHeaders="1" showColHeaders="1" showRowStripes="0" showColStripes="0" showLastColumn="1"/>
  <filters count="1">
    <filter fld="5" type="dateBetween" evalOrder="-1" id="4">
      <autoFilter ref="A1">
        <filterColumn colId="0">
          <customFilters and="1">
            <customFilter operator="greaterThanOrEqual" val="44161"/>
            <customFilter operator="lessThanOrEqual" val="4419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FBDD4-7764-45DD-BCE6-865AA40D071C}" name="Tabela dinâmica5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56:D62" firstHeaderRow="1" firstDataRow="3" firstDataCol="1"/>
  <pivotFields count="9"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dataField="1" showAll="0"/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9">
        <item x="7"/>
        <item x="4"/>
        <item sd="0" x="6"/>
        <item sd="0" x="5"/>
        <item x="0"/>
        <item x="3"/>
        <item x="2"/>
        <item x="1"/>
        <item t="default"/>
      </items>
    </pivotField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2">
    <field x="6"/>
    <field x="5"/>
  </colFields>
  <colItems count="3">
    <i>
      <x v="2"/>
    </i>
    <i>
      <x v="3"/>
    </i>
    <i t="grand">
      <x/>
    </i>
  </colItems>
  <dataFields count="1">
    <dataField name="Mês de Novembro" fld="4" baseField="0" baseItem="0"/>
  </dataFields>
  <formats count="11">
    <format dxfId="73">
      <pivotArea type="all" dataOnly="0" outline="0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field="6" type="button" dataOnly="0" labelOnly="1" outline="0" axis="axisCol" fieldPosition="0"/>
    </format>
    <format dxfId="69">
      <pivotArea field="5" type="button" dataOnly="0" labelOnly="1" outline="0" axis="axisCol" fieldPosition="1"/>
    </format>
    <format dxfId="68">
      <pivotArea type="topRight" dataOnly="0" labelOnly="1" outline="0" fieldPosition="0"/>
    </format>
    <format dxfId="67">
      <pivotArea field="3" type="button" dataOnly="0" labelOnly="1" outline="0" axis="axisRow" fieldPosition="0"/>
    </format>
    <format dxfId="66">
      <pivotArea dataOnly="0" labelOnly="1" fieldPosition="0">
        <references count="1">
          <reference field="3" count="0"/>
        </references>
      </pivotArea>
    </format>
    <format dxfId="65">
      <pivotArea dataOnly="0" labelOnly="1" grandRow="1" outline="0" fieldPosition="0"/>
    </format>
    <format dxfId="64">
      <pivotArea dataOnly="0" labelOnly="1" fieldPosition="0">
        <references count="1">
          <reference field="6" count="2">
            <x v="2"/>
            <x v="3"/>
          </reference>
        </references>
      </pivotArea>
    </format>
    <format dxfId="63">
      <pivotArea dataOnly="0" labelOnly="1" grandCol="1" outline="0" fieldPosition="0"/>
    </format>
  </formats>
  <pivotTableStyleInfo name="PivotStyleLight16" showRowHeaders="1" showColHeaders="1" showRowStripes="0" showColStripes="0" showLastColumn="1"/>
  <filters count="1">
    <filter fld="5" type="dateBetween" evalOrder="-1" id="2">
      <autoFilter ref="A1">
        <filterColumn colId="0">
          <customFilters and="1">
            <customFilter operator="greaterThanOrEqual" val="44130"/>
            <customFilter operator="lessThanOrEqual" val="4416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4D1871-4C54-4FD2-A3C1-F414387C6AC7}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9:D54" firstHeaderRow="1" firstDataRow="3" firstDataCol="1"/>
  <pivotFields count="9"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dataField="1" showAll="0"/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9">
        <item x="7"/>
        <item sd="0" x="4"/>
        <item sd="0" x="6"/>
        <item x="5"/>
        <item x="0"/>
        <item x="3"/>
        <item x="2"/>
        <item x="1"/>
        <item t="default"/>
      </items>
    </pivotField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3"/>
  </rowFields>
  <rowItems count="3">
    <i>
      <x/>
    </i>
    <i>
      <x v="1"/>
    </i>
    <i t="grand">
      <x/>
    </i>
  </rowItems>
  <colFields count="2">
    <field x="6"/>
    <field x="5"/>
  </colFields>
  <colItems count="3">
    <i>
      <x v="1"/>
    </i>
    <i>
      <x v="2"/>
    </i>
    <i t="grand">
      <x/>
    </i>
  </colItems>
  <dataFields count="1">
    <dataField name="Mês de Outubro" fld="4" baseField="0" baseItem="0"/>
  </dataFields>
  <formats count="11">
    <format dxfId="84">
      <pivotArea type="all" dataOnly="0" outline="0" fieldPosition="0"/>
    </format>
    <format dxfId="83">
      <pivotArea outline="0" collapsedLevelsAreSubtotals="1" fieldPosition="0"/>
    </format>
    <format dxfId="82">
      <pivotArea type="origin" dataOnly="0" labelOnly="1" outline="0" fieldPosition="0"/>
    </format>
    <format dxfId="81">
      <pivotArea field="6" type="button" dataOnly="0" labelOnly="1" outline="0" axis="axisCol" fieldPosition="0"/>
    </format>
    <format dxfId="80">
      <pivotArea field="5" type="button" dataOnly="0" labelOnly="1" outline="0" axis="axisCol" fieldPosition="1"/>
    </format>
    <format dxfId="79">
      <pivotArea type="topRight" dataOnly="0" labelOnly="1" outline="0" fieldPosition="0"/>
    </format>
    <format dxfId="78">
      <pivotArea field="3" type="button" dataOnly="0" labelOnly="1" outline="0" axis="axisRow" fieldPosition="0"/>
    </format>
    <format dxfId="77">
      <pivotArea dataOnly="0" labelOnly="1" fieldPosition="0">
        <references count="1">
          <reference field="3" count="2">
            <x v="0"/>
            <x v="1"/>
          </reference>
        </references>
      </pivotArea>
    </format>
    <format dxfId="76">
      <pivotArea dataOnly="0" labelOnly="1" grandRow="1" outline="0" fieldPosition="0"/>
    </format>
    <format dxfId="75">
      <pivotArea dataOnly="0" labelOnly="1" fieldPosition="0">
        <references count="1">
          <reference field="6" count="2">
            <x v="1"/>
            <x v="2"/>
          </reference>
        </references>
      </pivotArea>
    </format>
    <format dxfId="74">
      <pivotArea dataOnly="0" labelOnly="1" grandCol="1" outline="0" fieldPosition="0"/>
    </format>
  </formats>
  <pivotTableStyleInfo name="PivotStyleLight16" showRowHeaders="1" showColHeaders="1" showRowStripes="0" showColStripes="0" showLastColumn="1"/>
  <filters count="1">
    <filter fld="5" type="dateBetween" evalOrder="-1" id="1">
      <autoFilter ref="A1">
        <filterColumn colId="0">
          <customFilters and="1">
            <customFilter operator="greaterThanOrEqual" val="44100"/>
            <customFilter operator="lessThanOrEqual" val="4412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F12E96-5309-49C1-A556-A50788E0E398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2:D47" firstHeaderRow="1" firstDataRow="3" firstDataCol="1"/>
  <pivotFields count="9"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dataField="1" showAll="0"/>
    <pivotField axis="axisCol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 defaultSubtotal="0">
      <items count="8">
        <item sd="0" x="7"/>
        <item sd="0" x="4"/>
        <item x="6"/>
        <item x="5"/>
        <item sd="0" x="0"/>
        <item x="3"/>
        <item x="2"/>
        <item x="1"/>
      </items>
    </pivotField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Fields count="2">
    <field x="6"/>
    <field x="5"/>
  </colFields>
  <colItems count="3">
    <i>
      <x/>
    </i>
    <i>
      <x v="1"/>
    </i>
    <i t="grand">
      <x/>
    </i>
  </colItems>
  <dataFields count="1">
    <dataField name="Mês de Setembro" fld="4" baseField="0" baseItem="0"/>
  </dataFields>
  <formats count="28"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6" type="button" dataOnly="0" labelOnly="1" outline="0" axis="axisCol" fieldPosition="0"/>
    </format>
    <format dxfId="109">
      <pivotArea field="5" type="button" dataOnly="0" labelOnly="1" outline="0" axis="axisCol" fieldPosition="1"/>
    </format>
    <format dxfId="108">
      <pivotArea type="topRight" dataOnly="0" labelOnly="1" outline="0" fieldPosition="0"/>
    </format>
    <format dxfId="107">
      <pivotArea field="3" type="button" dataOnly="0" labelOnly="1" outline="0" axis="axisRow" fieldPosition="0"/>
    </format>
    <format dxfId="106">
      <pivotArea dataOnly="0" labelOnly="1" grandRow="1" outline="0" fieldPosition="0"/>
    </format>
    <format dxfId="105">
      <pivotArea dataOnly="0" labelOnly="1" fieldPosition="0">
        <references count="1">
          <reference field="6" count="0"/>
        </references>
      </pivotArea>
    </format>
    <format dxfId="104">
      <pivotArea dataOnly="0" labelOnly="1" fieldPosition="0">
        <references count="1">
          <reference field="6" count="0" defaultSubtotal="1"/>
        </references>
      </pivotArea>
    </format>
    <format dxfId="103">
      <pivotArea dataOnly="0" labelOnly="1" grandCol="1" outline="0" fieldPosition="0"/>
    </format>
    <format dxfId="102">
      <pivotArea dataOnly="0" labelOnly="1" fieldPosition="0">
        <references count="2">
          <reference field="5" count="4">
            <x v="239"/>
            <x v="240"/>
            <x v="241"/>
            <x v="244"/>
          </reference>
          <reference field="6" count="1" selected="0">
            <x v="0"/>
          </reference>
        </references>
      </pivotArea>
    </format>
    <format dxfId="101">
      <pivotArea dataOnly="0" labelOnly="1" fieldPosition="0">
        <references count="2">
          <reference field="5" count="22">
            <x v="245"/>
            <x v="246"/>
            <x v="247"/>
            <x v="248"/>
            <x v="251"/>
            <x v="252"/>
            <x v="253"/>
            <x v="254"/>
            <x v="255"/>
            <x v="258"/>
            <x v="259"/>
            <x v="260"/>
            <x v="261"/>
            <x v="262"/>
            <x v="265"/>
            <x v="266"/>
            <x v="267"/>
            <x v="268"/>
            <x v="269"/>
            <x v="272"/>
            <x v="273"/>
            <x v="274"/>
          </reference>
          <reference field="6" count="1" selected="0">
            <x v="1"/>
          </reference>
        </references>
      </pivotArea>
    </format>
    <format dxfId="100">
      <pivotArea dataOnly="0" labelOnly="1" fieldPosition="0">
        <references count="2">
          <reference field="5" count="20">
            <x v="275"/>
            <x v="276"/>
            <x v="280"/>
            <x v="281"/>
            <x v="282"/>
            <x v="284"/>
            <x v="286"/>
            <x v="287"/>
            <x v="289"/>
            <x v="290"/>
            <x v="293"/>
            <x v="294"/>
            <x v="295"/>
            <x v="296"/>
            <x v="297"/>
            <x v="300"/>
            <x v="302"/>
            <x v="303"/>
            <x v="304"/>
            <x v="305"/>
          </reference>
          <reference field="6" count="1" selected="0">
            <x v="2"/>
          </reference>
        </references>
      </pivotArea>
    </format>
    <format dxfId="99">
      <pivotArea dataOnly="0" labelOnly="1" fieldPosition="0">
        <references count="2">
          <reference field="5" count="9">
            <x v="306"/>
            <x v="307"/>
            <x v="308"/>
            <x v="309"/>
            <x v="310"/>
            <x v="311"/>
            <x v="314"/>
            <x v="317"/>
            <x v="318"/>
          </reference>
          <reference field="6" count="1" selected="0">
            <x v="3"/>
          </reference>
        </references>
      </pivotArea>
    </format>
    <format dxfId="98">
      <pivotArea dataOnly="0" labelOnly="1" fieldPosition="0">
        <references count="2">
          <reference field="5" count="1">
            <x v="0"/>
          </reference>
          <reference field="6" count="1" selected="0">
            <x v="4"/>
          </reference>
        </references>
      </pivotArea>
    </format>
    <format dxfId="97">
      <pivotArea type="all" dataOnly="0" outline="0" fieldPosition="0"/>
    </format>
    <format dxfId="96">
      <pivotArea type="origin" dataOnly="0" labelOnly="1" outline="0" fieldPosition="0"/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type="origin" dataOnly="0" labelOnly="1" outline="0" fieldPosition="0"/>
    </format>
    <format dxfId="92">
      <pivotArea field="6" type="button" dataOnly="0" labelOnly="1" outline="0" axis="axisCol" fieldPosition="0"/>
    </format>
    <format dxfId="91">
      <pivotArea field="5" type="button" dataOnly="0" labelOnly="1" outline="0" axis="axisCol" fieldPosition="1"/>
    </format>
    <format dxfId="90">
      <pivotArea type="topRight" dataOnly="0" labelOnly="1" outline="0" fieldPosition="0"/>
    </format>
    <format dxfId="89">
      <pivotArea field="3" type="button" dataOnly="0" labelOnly="1" outline="0" axis="axisRow" fieldPosition="0"/>
    </format>
    <format dxfId="88">
      <pivotArea dataOnly="0" labelOnly="1" fieldPosition="0">
        <references count="1">
          <reference field="3" count="2">
            <x v="0"/>
            <x v="1"/>
          </reference>
        </references>
      </pivotArea>
    </format>
    <format dxfId="87">
      <pivotArea dataOnly="0" labelOnly="1" grandRow="1" outline="0" fieldPosition="0"/>
    </format>
    <format dxfId="86">
      <pivotArea dataOnly="0" labelOnly="1" fieldPosition="0">
        <references count="1">
          <reference field="6" count="2">
            <x v="0"/>
            <x v="1"/>
          </reference>
        </references>
      </pivotArea>
    </format>
    <format dxfId="85">
      <pivotArea dataOnly="0" labelOnly="1" grandCol="1" outline="0" fieldPosition="0"/>
    </format>
  </formats>
  <pivotTableStyleInfo name="PivotStyleLight16" showRowHeaders="1" showColHeaders="1" showRowStripes="0" showColStripes="0" showLastColumn="1"/>
  <filters count="1">
    <filter fld="5" type="dateBetween" evalOrder="-1" id="2">
      <autoFilter ref="A1">
        <filterColumn colId="0">
          <customFilters and="1">
            <customFilter operator="greaterThanOrEqual" val="44068"/>
            <customFilter operator="lessThanOrEqual" val="4409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6DB43A-3728-48BE-958D-13E44105C146}" name="Tabela1" displayName="Tabela1" ref="A1:A3" totalsRowShown="0" headerRowDxfId="39" dataDxfId="38">
  <autoFilter ref="A1:A3" xr:uid="{AD6A4D99-A981-490A-9641-9674E00470F5}"/>
  <tableColumns count="1">
    <tableColumn id="1" xr3:uid="{917D801B-1B5D-4404-AC68-8B9A57004B9E}" name="Tipos de pagamentos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A88DFA3-F06F-4F6C-97E8-C06AECB2D7FB}" name="Tabela4" displayName="Tabela4" ref="A5:A11" totalsRowShown="0" headerRowDxfId="36" dataDxfId="35">
  <autoFilter ref="A5:A11" xr:uid="{DD051799-CA14-4B4A-97DB-D0EB17081138}"/>
  <tableColumns count="1">
    <tableColumn id="1" xr3:uid="{ECE41216-23B1-46F5-93B0-4630E4F53B13}" name="Tipos de Descrição" dataDxfId="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9F79F-2C1D-437F-A34E-260FAB26651B}" name="Tabela2" displayName="Tabela2" ref="F42:G46" totalsRowShown="0" headerRowDxfId="33" dataDxfId="32">
  <autoFilter ref="F42:G46" xr:uid="{FBAAA371-5DFE-4D7C-A951-DAF45B4C030D}"/>
  <tableColumns count="2">
    <tableColumn id="1" xr3:uid="{C4A34A45-AD2D-4956-BD38-A54310512FEE}" name="2020" dataDxfId="31"/>
    <tableColumn id="2" xr3:uid="{F98B40D4-9FD4-4D23-AEA4-1E785AA23BA6}" name="Total" data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FE89F4-9810-4E3B-BD7F-CAE94B680F21}" name="Tabela24" displayName="Tabela24" ref="F48:G60" totalsRowShown="0" headerRowDxfId="29" dataDxfId="28">
  <autoFilter ref="F48:G60" xr:uid="{D5158647-659D-4768-BD57-4FDAF5A3BC61}"/>
  <tableColumns count="2">
    <tableColumn id="1" xr3:uid="{C0A1844D-7F0E-4CCC-8229-9F8A9485CCF8}" name="2021" dataDxfId="27"/>
    <tableColumn id="2" xr3:uid="{C82B0D12-A7A7-47F8-A5F6-131334832634}" name="Total" dataDxfId="2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CC13A1-0179-49F1-984D-436B8479A1E9}" name="Tabela5" displayName="Tabela5" ref="A5:H233" totalsRowShown="0" headerRowDxfId="25" dataDxfId="23" headerRowBorderDxfId="24" tableBorderDxfId="22" totalsRowBorderDxfId="21">
  <autoFilter ref="A5:H233" xr:uid="{10D0E9B9-E630-4797-8FC2-2631D67C6FFD}"/>
  <tableColumns count="8">
    <tableColumn id="1" xr3:uid="{C0E3EFDB-ACCB-47D9-9C2D-A336C97271BE}" name="CPF" dataDxfId="20"/>
    <tableColumn id="2" xr3:uid="{F3BE4705-CED6-48F7-BA99-C22D677FC1D5}" name="NOME" dataDxfId="19"/>
    <tableColumn id="3" xr3:uid="{628AD253-C94D-4D11-AB76-A73F89498C95}" name="DESCRIÇÃO" dataDxfId="18"/>
    <tableColumn id="4" xr3:uid="{265E3FD1-F49A-46F3-9F1F-A521D746AFC5}" name="TIPO" dataDxfId="17"/>
    <tableColumn id="5" xr3:uid="{CDBB0140-9ED8-49DB-BA7E-0B6F6882CA79}" name="VALOR" dataDxfId="16"/>
    <tableColumn id="6" xr3:uid="{D7365E95-9D35-420E-94D3-62CB7C7FC270}" name="DATA" dataDxfId="15"/>
    <tableColumn id="7" xr3:uid="{F67D8BC4-5409-4B55-A206-DE692DC1C419}" name="MÊS" dataDxfId="14">
      <calculatedColumnFormula>IF(F6="","",MONTH(Tabela5[[#This Row],[DATA]]))</calculatedColumnFormula>
    </tableColumn>
    <tableColumn id="8" xr3:uid="{A87BFDEA-240D-4AFD-B8D8-130923394791}" name="VAL" dataDxfId="13">
      <calculatedColumnFormula>TEXT(Tabela5[[#This Row],[DATA]],"Geral")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44A1613-2BEA-46F3-B555-0FBC3744B699}" name="Tabela37" displayName="Tabela37" ref="A5:H11" totalsRowShown="0" headerRowDxfId="12" dataDxfId="10" headerRowBorderDxfId="11" tableBorderDxfId="9" totalsRowBorderDxfId="8">
  <autoFilter ref="A5:H11" xr:uid="{144FA260-781D-4063-9E1D-785031621DD1}"/>
  <tableColumns count="8">
    <tableColumn id="1" xr3:uid="{75B3D1BF-E1EA-458B-84D7-CC09C36B8CB7}" name="CPF" dataDxfId="7"/>
    <tableColumn id="2" xr3:uid="{B0B83383-2357-4F6D-AA33-58CF7F2E2764}" name="NOME" dataDxfId="6"/>
    <tableColumn id="3" xr3:uid="{B3A454ED-666B-4069-91A8-CCDEF2787B65}" name="DESCRIÇÃO" dataDxfId="5"/>
    <tableColumn id="4" xr3:uid="{71B796D0-F3C9-494C-B365-4613CCE2AF83}" name="TIPO" dataDxfId="4"/>
    <tableColumn id="5" xr3:uid="{CC98060D-B65D-4DFD-AEBA-E6B7EE0CEF6F}" name="VALOR" dataDxfId="3"/>
    <tableColumn id="6" xr3:uid="{55AFB4B5-5571-4073-9D22-53ED6F974572}" name="DATA" dataDxfId="2"/>
    <tableColumn id="7" xr3:uid="{12123F4F-2FD8-4336-A5E2-9B4314CBD5B0}" name="MÊS" dataDxfId="1">
      <calculatedColumnFormula>IF(F6="","",MONTH(Tabela5[[#This Row],[DATA]]))</calculatedColumnFormula>
    </tableColumn>
    <tableColumn id="8" xr3:uid="{E91DA157-141B-42B9-A7BA-194640C0C513}" name="VAL" dataDxfId="0">
      <calculatedColumnFormula>TEXT(Tabela37[[#This Row],[DATA]],"Geral")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10" Type="http://schemas.openxmlformats.org/officeDocument/2006/relationships/table" Target="../tables/table4.xml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FE2CD-0FB2-4E98-90E3-C5EAB597DEB0}">
  <sheetPr codeName="Planilha5">
    <tabColor rgb="FF748B90"/>
  </sheetPr>
  <dimension ref="A1:F15"/>
  <sheetViews>
    <sheetView showGridLines="0" showRowColHeaders="0" zoomScale="130" zoomScaleNormal="130" workbookViewId="0">
      <selection activeCell="A15" sqref="A15"/>
    </sheetView>
  </sheetViews>
  <sheetFormatPr defaultRowHeight="14.4" x14ac:dyDescent="0.3"/>
  <cols>
    <col min="1" max="1" width="43" style="11" bestFit="1" customWidth="1"/>
    <col min="2" max="2" width="43.21875" style="11" bestFit="1" customWidth="1"/>
    <col min="3" max="3" width="8.88671875" style="11"/>
    <col min="4" max="4" width="28.109375" style="11" bestFit="1" customWidth="1"/>
    <col min="5" max="5" width="17" style="11" bestFit="1" customWidth="1"/>
    <col min="6" max="6" width="12.109375" style="11" bestFit="1" customWidth="1"/>
    <col min="7" max="16384" width="8.88671875" style="11"/>
  </cols>
  <sheetData>
    <row r="1" spans="1:6" ht="24" thickTop="1" thickBot="1" x14ac:dyDescent="0.35">
      <c r="A1" s="2" t="s">
        <v>16</v>
      </c>
      <c r="B1" s="3" t="s">
        <v>17</v>
      </c>
      <c r="D1" s="167" t="s">
        <v>30</v>
      </c>
      <c r="E1" s="168"/>
      <c r="F1" s="168"/>
    </row>
    <row r="2" spans="1:6" ht="24" thickTop="1" thickBot="1" x14ac:dyDescent="0.35">
      <c r="A2" s="2" t="s">
        <v>18</v>
      </c>
      <c r="B2" s="3" t="s">
        <v>19</v>
      </c>
      <c r="D2" s="10" t="s">
        <v>37</v>
      </c>
      <c r="E2" s="10" t="s">
        <v>38</v>
      </c>
      <c r="F2" s="10" t="s">
        <v>34</v>
      </c>
    </row>
    <row r="3" spans="1:6" ht="24" thickTop="1" thickBot="1" x14ac:dyDescent="0.35">
      <c r="A3" s="2" t="s">
        <v>20</v>
      </c>
      <c r="B3" s="4">
        <v>44069</v>
      </c>
      <c r="D3" s="9" t="s">
        <v>31</v>
      </c>
      <c r="E3" s="9" t="s">
        <v>33</v>
      </c>
      <c r="F3" s="9" t="s">
        <v>35</v>
      </c>
    </row>
    <row r="4" spans="1:6" ht="24" thickTop="1" thickBot="1" x14ac:dyDescent="0.35">
      <c r="A4" s="2" t="s">
        <v>21</v>
      </c>
      <c r="B4" s="5">
        <v>1643.79</v>
      </c>
      <c r="D4" s="9" t="s">
        <v>32</v>
      </c>
      <c r="E4" s="9" t="s">
        <v>33</v>
      </c>
      <c r="F4" s="9" t="s">
        <v>36</v>
      </c>
    </row>
    <row r="5" spans="1:6" ht="24" thickTop="1" thickBot="1" x14ac:dyDescent="0.35">
      <c r="A5" s="6"/>
      <c r="B5" s="6"/>
    </row>
    <row r="6" spans="1:6" ht="24.6" thickTop="1" thickBot="1" x14ac:dyDescent="0.35">
      <c r="A6" s="166" t="s">
        <v>22</v>
      </c>
      <c r="B6" s="166"/>
    </row>
    <row r="7" spans="1:6" ht="24.6" thickTop="1" thickBot="1" x14ac:dyDescent="0.35">
      <c r="A7" s="7" t="s">
        <v>23</v>
      </c>
      <c r="B7" s="7" t="s">
        <v>24</v>
      </c>
    </row>
    <row r="8" spans="1:6" ht="24.6" thickTop="1" thickBot="1" x14ac:dyDescent="0.35">
      <c r="A8" s="7" t="s">
        <v>25</v>
      </c>
      <c r="B8" s="8" t="s">
        <v>26</v>
      </c>
    </row>
    <row r="9" spans="1:6" ht="24.6" thickTop="1" thickBot="1" x14ac:dyDescent="0.35">
      <c r="A9" s="7" t="s">
        <v>27</v>
      </c>
      <c r="B9" s="8">
        <v>3038</v>
      </c>
    </row>
    <row r="10" spans="1:6" ht="24.6" thickTop="1" thickBot="1" x14ac:dyDescent="0.35">
      <c r="A10" s="7" t="s">
        <v>28</v>
      </c>
      <c r="B10" s="8" t="s">
        <v>29</v>
      </c>
    </row>
    <row r="11" spans="1:6" ht="24.6" thickTop="1" thickBot="1" x14ac:dyDescent="0.35">
      <c r="A11" s="7" t="s">
        <v>18</v>
      </c>
      <c r="B11" s="8" t="s">
        <v>19</v>
      </c>
    </row>
    <row r="12" spans="1:6" ht="15" thickTop="1" x14ac:dyDescent="0.3">
      <c r="A12" s="11" t="s">
        <v>199</v>
      </c>
      <c r="B12" s="11" t="s">
        <v>198</v>
      </c>
    </row>
    <row r="15" spans="1:6" x14ac:dyDescent="0.3">
      <c r="A15" s="120"/>
    </row>
  </sheetData>
  <mergeCells count="2">
    <mergeCell ref="A6:B6"/>
    <mergeCell ref="D1:F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90C2D-D1B5-4C01-8829-E9008147ABF5}">
  <sheetPr codeName="Planilha2"/>
  <dimension ref="A1:DU127"/>
  <sheetViews>
    <sheetView showGridLines="0" workbookViewId="0">
      <selection activeCell="D6" sqref="D6"/>
    </sheetView>
  </sheetViews>
  <sheetFormatPr defaultColWidth="9.109375" defaultRowHeight="13.8" x14ac:dyDescent="0.3"/>
  <cols>
    <col min="1" max="1" width="17.21875" style="1" bestFit="1" customWidth="1"/>
    <col min="2" max="2" width="18.5546875" style="1" bestFit="1" customWidth="1"/>
    <col min="3" max="3" width="18.44140625" style="1" bestFit="1" customWidth="1"/>
    <col min="4" max="4" width="10" style="1" bestFit="1" customWidth="1"/>
    <col min="5" max="5" width="6.5546875" style="1" bestFit="1" customWidth="1"/>
    <col min="6" max="6" width="9.6640625" style="1" bestFit="1" customWidth="1"/>
    <col min="7" max="7" width="12.88671875" style="1" bestFit="1" customWidth="1"/>
    <col min="8" max="16" width="6.5546875" style="1" bestFit="1" customWidth="1"/>
    <col min="17" max="17" width="6.6640625" style="1" bestFit="1" customWidth="1"/>
    <col min="18" max="19" width="10" style="1" bestFit="1" customWidth="1"/>
    <col min="20" max="20" width="7.109375" style="1" bestFit="1" customWidth="1"/>
    <col min="21" max="21" width="9" style="1" bestFit="1" customWidth="1"/>
    <col min="22" max="22" width="10" style="1" bestFit="1" customWidth="1"/>
    <col min="23" max="28" width="6.33203125" style="1" bestFit="1" customWidth="1"/>
    <col min="29" max="29" width="8" style="1" bestFit="1" customWidth="1"/>
    <col min="30" max="49" width="6.77734375" style="1" bestFit="1" customWidth="1"/>
    <col min="50" max="50" width="7.6640625" style="1" bestFit="1" customWidth="1"/>
    <col min="51" max="51" width="8" style="1" bestFit="1" customWidth="1"/>
    <col min="52" max="69" width="7.109375" style="1" bestFit="1" customWidth="1"/>
    <col min="70" max="70" width="9" style="1" bestFit="1" customWidth="1"/>
    <col min="71" max="71" width="6.6640625" style="1" bestFit="1" customWidth="1"/>
    <col min="72" max="72" width="5.6640625" style="1" bestFit="1" customWidth="1"/>
    <col min="73" max="84" width="6.77734375" style="1" bestFit="1" customWidth="1"/>
    <col min="85" max="85" width="7.6640625" style="1" bestFit="1" customWidth="1"/>
    <col min="86" max="86" width="10" style="1" bestFit="1" customWidth="1"/>
    <col min="87" max="87" width="8.77734375" style="1" bestFit="1" customWidth="1"/>
    <col min="88" max="88" width="11.44140625" style="1" bestFit="1" customWidth="1"/>
    <col min="89" max="89" width="8.77734375" style="1" bestFit="1" customWidth="1"/>
    <col min="90" max="90" width="11.44140625" style="1" bestFit="1" customWidth="1"/>
    <col min="91" max="91" width="8.77734375" style="1" bestFit="1" customWidth="1"/>
    <col min="92" max="92" width="11.44140625" style="1" bestFit="1" customWidth="1"/>
    <col min="93" max="93" width="8.77734375" style="1" bestFit="1" customWidth="1"/>
    <col min="94" max="94" width="11.44140625" style="1" bestFit="1" customWidth="1"/>
    <col min="95" max="95" width="8.77734375" style="1" bestFit="1" customWidth="1"/>
    <col min="96" max="96" width="11.44140625" style="1" bestFit="1" customWidth="1"/>
    <col min="97" max="97" width="8.77734375" style="1" bestFit="1" customWidth="1"/>
    <col min="98" max="98" width="11.44140625" style="1" bestFit="1" customWidth="1"/>
    <col min="99" max="99" width="9.109375" style="1"/>
    <col min="100" max="100" width="11.77734375" style="1" bestFit="1" customWidth="1"/>
    <col min="101" max="101" width="9.109375" style="1"/>
    <col min="102" max="102" width="11.77734375" style="1" bestFit="1" customWidth="1"/>
    <col min="103" max="103" width="9.109375" style="1"/>
    <col min="104" max="104" width="11.77734375" style="1" bestFit="1" customWidth="1"/>
    <col min="105" max="105" width="9.109375" style="1"/>
    <col min="106" max="106" width="11.77734375" style="1" bestFit="1" customWidth="1"/>
    <col min="107" max="107" width="9.109375" style="1"/>
    <col min="108" max="108" width="11.77734375" style="1" bestFit="1" customWidth="1"/>
    <col min="109" max="109" width="9.109375" style="1"/>
    <col min="110" max="110" width="11.77734375" style="1" bestFit="1" customWidth="1"/>
    <col min="111" max="111" width="9.109375" style="1"/>
    <col min="112" max="112" width="11.77734375" style="1" bestFit="1" customWidth="1"/>
    <col min="113" max="113" width="9.109375" style="1"/>
    <col min="114" max="114" width="11.77734375" style="1" bestFit="1" customWidth="1"/>
    <col min="115" max="115" width="9.109375" style="1"/>
    <col min="116" max="116" width="11.77734375" style="1" bestFit="1" customWidth="1"/>
    <col min="117" max="117" width="9.109375" style="1"/>
    <col min="118" max="118" width="11.77734375" style="1" bestFit="1" customWidth="1"/>
    <col min="119" max="119" width="9.109375" style="1"/>
    <col min="120" max="120" width="11.77734375" style="1" bestFit="1" customWidth="1"/>
    <col min="121" max="121" width="9.109375" style="1"/>
    <col min="122" max="122" width="11.77734375" style="1" bestFit="1" customWidth="1"/>
    <col min="123" max="123" width="10" style="1" bestFit="1" customWidth="1"/>
    <col min="124" max="16384" width="9.109375" style="1"/>
  </cols>
  <sheetData>
    <row r="1" spans="1:18" x14ac:dyDescent="0.3">
      <c r="A1" s="1" t="s">
        <v>1</v>
      </c>
      <c r="B1" s="23" t="s">
        <v>92</v>
      </c>
      <c r="C1" s="22" t="s">
        <v>93</v>
      </c>
    </row>
    <row r="2" spans="1:18" ht="13.8" customHeight="1" x14ac:dyDescent="0.3">
      <c r="A2" s="12" t="s">
        <v>8</v>
      </c>
      <c r="B2" s="13">
        <f>COUNTIF(Entrada!D4:D1048576,"Cartão/TED")</f>
        <v>158</v>
      </c>
      <c r="C2" s="18" t="s">
        <v>8</v>
      </c>
    </row>
    <row r="3" spans="1:18" ht="13.8" customHeight="1" thickBot="1" x14ac:dyDescent="0.35">
      <c r="A3" s="12" t="s">
        <v>2</v>
      </c>
      <c r="B3" s="14">
        <f>COUNTIF(Entrada!D4:D1048576,"Dinheiro")</f>
        <v>60</v>
      </c>
      <c r="C3" s="19" t="s">
        <v>2</v>
      </c>
    </row>
    <row r="4" spans="1:18" ht="13.8" customHeight="1" x14ac:dyDescent="0.3">
      <c r="A4" s="17"/>
      <c r="B4" s="15"/>
      <c r="C4" s="22" t="s">
        <v>94</v>
      </c>
    </row>
    <row r="5" spans="1:18" ht="13.8" customHeight="1" x14ac:dyDescent="0.3">
      <c r="A5" s="1" t="s">
        <v>14</v>
      </c>
      <c r="B5" s="13">
        <f>COUNTIF(Tabela5[DESCRIÇÃO],C5)</f>
        <v>120</v>
      </c>
      <c r="C5" s="18" t="s">
        <v>11</v>
      </c>
    </row>
    <row r="6" spans="1:18" ht="13.8" customHeight="1" thickBot="1" x14ac:dyDescent="0.35">
      <c r="A6" s="12" t="s">
        <v>13</v>
      </c>
      <c r="B6" s="14">
        <f>COUNTIF(Entrada!C4:C1048576,"Sinal")</f>
        <v>83</v>
      </c>
      <c r="C6" s="19" t="s">
        <v>10</v>
      </c>
    </row>
    <row r="7" spans="1:18" ht="13.8" customHeight="1" thickBot="1" x14ac:dyDescent="0.35">
      <c r="A7" s="12" t="s">
        <v>10</v>
      </c>
      <c r="B7" s="17"/>
      <c r="C7" s="20"/>
      <c r="D7" s="29"/>
    </row>
    <row r="8" spans="1:18" ht="13.8" customHeight="1" x14ac:dyDescent="0.3">
      <c r="A8" s="12" t="s">
        <v>70</v>
      </c>
      <c r="B8" s="24" t="s">
        <v>106</v>
      </c>
      <c r="C8" s="28" t="s">
        <v>105</v>
      </c>
      <c r="D8" s="29"/>
      <c r="I8" s="80"/>
      <c r="J8" s="33" t="s">
        <v>120</v>
      </c>
      <c r="K8" s="34">
        <f>SUMIF(Entrada!$D$4:D231,Cálculos!A3,Entrada!$E$4:E1048576) - SUMIF(Saida!$D$4:D9,Cálculos!A3,Saida!$E$4:E1048576)</f>
        <v>69135</v>
      </c>
      <c r="N8" s="80"/>
      <c r="O8" s="80"/>
      <c r="P8" s="80"/>
      <c r="Q8" s="80"/>
      <c r="R8" s="80"/>
    </row>
    <row r="9" spans="1:18" ht="14.4" thickBot="1" x14ac:dyDescent="0.35">
      <c r="A9" s="12" t="s">
        <v>77</v>
      </c>
      <c r="B9" s="13">
        <v>1</v>
      </c>
      <c r="C9" s="25" t="s">
        <v>107</v>
      </c>
      <c r="I9" s="80"/>
      <c r="J9" s="35" t="s">
        <v>121</v>
      </c>
      <c r="K9" s="36">
        <f>SUMIF(Entrada!$D$4:D231,Cálculos!A2,Entrada!$E$4:E231) - SUMIF(Saida!$D$4:D9,Cálculos!A2,Saida!$E$4:E1048576)</f>
        <v>118767.12999999999</v>
      </c>
      <c r="N9" s="81"/>
      <c r="O9" s="81"/>
      <c r="P9" s="81"/>
      <c r="Q9" s="80"/>
      <c r="R9" s="80"/>
    </row>
    <row r="10" spans="1:18" x14ac:dyDescent="0.3">
      <c r="A10" s="12" t="s">
        <v>78</v>
      </c>
      <c r="B10" s="13">
        <v>2</v>
      </c>
      <c r="C10" s="26" t="s">
        <v>108</v>
      </c>
      <c r="I10" s="80"/>
      <c r="J10" s="29"/>
      <c r="K10" s="29"/>
      <c r="L10" s="29"/>
      <c r="N10" s="82"/>
      <c r="O10" s="81"/>
      <c r="P10" s="81"/>
      <c r="Q10" s="80"/>
      <c r="R10" s="80"/>
    </row>
    <row r="11" spans="1:18" ht="14.4" thickBot="1" x14ac:dyDescent="0.35">
      <c r="A11" s="12" t="s">
        <v>79</v>
      </c>
      <c r="B11" s="13">
        <v>3</v>
      </c>
      <c r="C11" s="26" t="s">
        <v>109</v>
      </c>
      <c r="I11" s="80"/>
      <c r="J11" s="29"/>
      <c r="K11" s="29"/>
      <c r="L11" s="29"/>
      <c r="M11" s="80"/>
      <c r="N11" s="82"/>
      <c r="O11" s="81"/>
      <c r="P11" s="81"/>
      <c r="Q11" s="80"/>
      <c r="R11" s="80"/>
    </row>
    <row r="12" spans="1:18" x14ac:dyDescent="0.3">
      <c r="B12" s="13">
        <v>4</v>
      </c>
      <c r="C12" s="26" t="s">
        <v>110</v>
      </c>
      <c r="I12" s="80"/>
      <c r="J12" s="171">
        <v>2020</v>
      </c>
      <c r="K12" s="172"/>
      <c r="L12" s="171">
        <v>2021</v>
      </c>
      <c r="M12" s="172"/>
      <c r="N12" s="82"/>
      <c r="O12" s="81"/>
      <c r="P12" s="81"/>
      <c r="Q12" s="80"/>
      <c r="R12" s="80"/>
    </row>
    <row r="13" spans="1:18" x14ac:dyDescent="0.3">
      <c r="B13" s="13">
        <v>5</v>
      </c>
      <c r="C13" s="26" t="s">
        <v>111</v>
      </c>
      <c r="I13" s="80"/>
      <c r="J13" s="32">
        <v>0</v>
      </c>
      <c r="K13" s="30" t="s">
        <v>107</v>
      </c>
      <c r="L13" s="32">
        <f>G49</f>
        <v>41858.410000000003</v>
      </c>
      <c r="M13" s="30" t="s">
        <v>107</v>
      </c>
      <c r="N13" s="82"/>
      <c r="O13" s="81"/>
      <c r="P13" s="81"/>
      <c r="Q13" s="80"/>
      <c r="R13" s="80"/>
    </row>
    <row r="14" spans="1:18" x14ac:dyDescent="0.3">
      <c r="B14" s="13">
        <v>6</v>
      </c>
      <c r="C14" s="26" t="s">
        <v>112</v>
      </c>
      <c r="I14" s="80"/>
      <c r="J14" s="32">
        <f>SUMIF(Entrada!G:G,Cálculos!B10,Entrada!E:E) - SUMIF(Saida!G:G,Cálculos!B10,Saida!E:E)</f>
        <v>12486.99</v>
      </c>
      <c r="K14" s="30" t="s">
        <v>108</v>
      </c>
      <c r="L14" s="32">
        <f>SUMIF(Entrada!I:I,Cálculos!D10,Entrada!G:G) - SUMIF(Saida!I:I,Cálculos!D10,Saida!G:G)</f>
        <v>0</v>
      </c>
      <c r="M14" s="30" t="s">
        <v>108</v>
      </c>
      <c r="N14" s="82"/>
      <c r="O14" s="81"/>
      <c r="P14" s="81"/>
      <c r="Q14" s="80"/>
      <c r="R14" s="80"/>
    </row>
    <row r="15" spans="1:18" x14ac:dyDescent="0.3">
      <c r="B15" s="13">
        <v>7</v>
      </c>
      <c r="C15" s="26" t="s">
        <v>113</v>
      </c>
      <c r="I15" s="80"/>
      <c r="J15" s="32">
        <f>SUMIF(Entrada!G:G,Cálculos!B11,Entrada!E:E) - SUMIF(Saida!G:G,Cálculos!B11,Saida!E:E)</f>
        <v>0</v>
      </c>
      <c r="K15" s="30" t="s">
        <v>109</v>
      </c>
      <c r="L15" s="32">
        <f>SUMIF(Entrada!I:I,Cálculos!D11,Entrada!G:G) - SUMIF(Saida!I:I,Cálculos!D11,Saida!G:G)</f>
        <v>0</v>
      </c>
      <c r="M15" s="30" t="s">
        <v>109</v>
      </c>
      <c r="N15" s="82"/>
      <c r="O15" s="81"/>
      <c r="P15" s="81"/>
      <c r="Q15" s="80"/>
      <c r="R15" s="80"/>
    </row>
    <row r="16" spans="1:18" x14ac:dyDescent="0.3">
      <c r="B16" s="13">
        <v>8</v>
      </c>
      <c r="C16" s="26" t="s">
        <v>114</v>
      </c>
      <c r="I16" s="80"/>
      <c r="J16" s="32">
        <f>SUMIF(Entrada!G:G,Cálculos!B12,Entrada!E:E) - SUMIF(Saida!G:G,Cálculos!B12,Saida!E:E)</f>
        <v>0</v>
      </c>
      <c r="K16" s="30" t="s">
        <v>110</v>
      </c>
      <c r="L16" s="32">
        <f>SUMIF(Entrada!I:I,Cálculos!D12,Entrada!G:G) - SUMIF(Saida!I:I,Cálculos!D12,Saida!G:G)</f>
        <v>0</v>
      </c>
      <c r="M16" s="30" t="s">
        <v>110</v>
      </c>
      <c r="N16" s="82"/>
      <c r="O16" s="81"/>
      <c r="P16" s="81"/>
      <c r="Q16" s="80"/>
      <c r="R16" s="80"/>
    </row>
    <row r="17" spans="2:18" x14ac:dyDescent="0.3">
      <c r="B17" s="13">
        <v>9</v>
      </c>
      <c r="C17" s="26" t="s">
        <v>115</v>
      </c>
      <c r="I17" s="80"/>
      <c r="J17" s="32">
        <f>SUMIF(Entrada!G:G,Cálculos!B13,Entrada!E:E) - SUMIF(Saida!G:G,Cálculos!B13,Saida!E:E)</f>
        <v>0</v>
      </c>
      <c r="K17" s="30" t="s">
        <v>111</v>
      </c>
      <c r="L17" s="32">
        <f>SUMIF(Entrada!I:I,Cálculos!D13,Entrada!G:G) - SUMIF(Saida!I:I,Cálculos!D13,Saida!G:G)</f>
        <v>0</v>
      </c>
      <c r="M17" s="30" t="s">
        <v>111</v>
      </c>
      <c r="N17" s="82"/>
      <c r="O17" s="81"/>
      <c r="P17" s="81"/>
      <c r="Q17" s="80"/>
      <c r="R17" s="80"/>
    </row>
    <row r="18" spans="2:18" x14ac:dyDescent="0.3">
      <c r="B18" s="13">
        <v>10</v>
      </c>
      <c r="C18" s="26" t="s">
        <v>116</v>
      </c>
      <c r="I18" s="80"/>
      <c r="J18" s="32">
        <f>SUMIF(Entrada!G:G,Cálculos!B14,Entrada!E:E) - SUMIF(Saida!G:G,Cálculos!B14,Saida!E:E)</f>
        <v>0</v>
      </c>
      <c r="K18" s="30" t="s">
        <v>112</v>
      </c>
      <c r="L18" s="32">
        <f>SUMIF(Entrada!I:I,Cálculos!D14,Entrada!G:G) - SUMIF(Saida!I:I,Cálculos!D14,Saida!G:G)</f>
        <v>0</v>
      </c>
      <c r="M18" s="30" t="s">
        <v>112</v>
      </c>
      <c r="N18" s="82"/>
      <c r="O18" s="81"/>
      <c r="P18" s="81"/>
      <c r="Q18" s="80"/>
      <c r="R18" s="80"/>
    </row>
    <row r="19" spans="2:18" x14ac:dyDescent="0.3">
      <c r="B19" s="13">
        <v>11</v>
      </c>
      <c r="C19" s="26" t="s">
        <v>117</v>
      </c>
      <c r="I19" s="80"/>
      <c r="J19" s="32">
        <f>SUMIF(Entrada!G:G,Cálculos!B15,Entrada!E:E) - SUMIF(Saida!G:G,Cálculos!B15,Saida!E:E)</f>
        <v>0</v>
      </c>
      <c r="K19" s="30" t="s">
        <v>113</v>
      </c>
      <c r="L19" s="32">
        <f>SUMIF(Entrada!I:I,Cálculos!D15,Entrada!G:G) - SUMIF(Saida!I:I,Cálculos!D15,Saida!G:G)</f>
        <v>0</v>
      </c>
      <c r="M19" s="30" t="s">
        <v>113</v>
      </c>
      <c r="N19" s="82"/>
      <c r="O19" s="81"/>
      <c r="P19" s="81"/>
      <c r="Q19" s="80"/>
      <c r="R19" s="80"/>
    </row>
    <row r="20" spans="2:18" ht="14.4" thickBot="1" x14ac:dyDescent="0.35">
      <c r="B20" s="14">
        <v>12</v>
      </c>
      <c r="C20" s="27" t="s">
        <v>118</v>
      </c>
      <c r="I20" s="80"/>
      <c r="J20" s="32">
        <v>0</v>
      </c>
      <c r="K20" s="30" t="s">
        <v>114</v>
      </c>
      <c r="L20" s="32">
        <v>0</v>
      </c>
      <c r="M20" s="30" t="s">
        <v>114</v>
      </c>
      <c r="N20" s="82"/>
      <c r="O20" s="81"/>
      <c r="P20" s="81"/>
      <c r="Q20" s="80"/>
      <c r="R20" s="80"/>
    </row>
    <row r="21" spans="2:18" x14ac:dyDescent="0.3">
      <c r="B21" s="16"/>
      <c r="C21" s="21" t="s">
        <v>119</v>
      </c>
      <c r="I21" s="80"/>
      <c r="J21" s="32">
        <f>G43</f>
        <v>34744.5</v>
      </c>
      <c r="K21" s="30" t="s">
        <v>115</v>
      </c>
      <c r="L21" s="32">
        <f>D36</f>
        <v>0</v>
      </c>
      <c r="M21" s="30" t="s">
        <v>115</v>
      </c>
      <c r="N21" s="82"/>
      <c r="O21" s="81"/>
      <c r="P21" s="81"/>
      <c r="Q21" s="80"/>
      <c r="R21" s="80"/>
    </row>
    <row r="22" spans="2:18" x14ac:dyDescent="0.3">
      <c r="B22" s="13">
        <v>1</v>
      </c>
      <c r="C22" s="26">
        <v>2020</v>
      </c>
      <c r="H22" s="80"/>
      <c r="I22" s="80"/>
      <c r="J22" s="32">
        <f>G44</f>
        <v>27060</v>
      </c>
      <c r="K22" s="30" t="s">
        <v>116</v>
      </c>
      <c r="L22" s="32">
        <f>D37</f>
        <v>0</v>
      </c>
      <c r="M22" s="30" t="s">
        <v>116</v>
      </c>
      <c r="N22" s="80"/>
      <c r="O22" s="80"/>
      <c r="P22" s="80"/>
      <c r="Q22" s="80"/>
      <c r="R22" s="80"/>
    </row>
    <row r="23" spans="2:18" x14ac:dyDescent="0.3">
      <c r="B23" s="13">
        <v>2</v>
      </c>
      <c r="C23" s="26">
        <v>2021</v>
      </c>
      <c r="H23" s="80"/>
      <c r="I23" s="80"/>
      <c r="J23" s="32">
        <f>G45</f>
        <v>58339.22</v>
      </c>
      <c r="K23" s="30" t="s">
        <v>117</v>
      </c>
      <c r="L23" s="32">
        <f>D38</f>
        <v>0</v>
      </c>
      <c r="M23" s="30" t="s">
        <v>117</v>
      </c>
      <c r="N23" s="80"/>
      <c r="O23" s="80"/>
      <c r="P23" s="80"/>
      <c r="Q23" s="80"/>
      <c r="R23" s="80"/>
    </row>
    <row r="24" spans="2:18" ht="14.4" thickBot="1" x14ac:dyDescent="0.35">
      <c r="B24" s="13">
        <v>3</v>
      </c>
      <c r="C24" s="26">
        <v>2022</v>
      </c>
      <c r="H24" s="80"/>
      <c r="I24" s="80"/>
      <c r="J24" s="83">
        <f>G46</f>
        <v>27050</v>
      </c>
      <c r="K24" s="31" t="s">
        <v>118</v>
      </c>
      <c r="L24" s="83">
        <f>D39</f>
        <v>0</v>
      </c>
      <c r="M24" s="31" t="s">
        <v>118</v>
      </c>
      <c r="N24" s="80"/>
      <c r="O24" s="80"/>
      <c r="P24" s="80"/>
      <c r="Q24" s="80"/>
      <c r="R24" s="80"/>
    </row>
    <row r="25" spans="2:18" x14ac:dyDescent="0.3">
      <c r="B25" s="13">
        <v>4</v>
      </c>
      <c r="C25" s="26">
        <v>2023</v>
      </c>
      <c r="H25" s="80"/>
      <c r="I25" s="80"/>
      <c r="J25" s="80"/>
      <c r="K25" s="80"/>
      <c r="L25" s="80"/>
      <c r="M25" s="80"/>
      <c r="N25" s="80"/>
    </row>
    <row r="26" spans="2:18" x14ac:dyDescent="0.3">
      <c r="B26" s="13">
        <v>5</v>
      </c>
      <c r="C26" s="26">
        <v>2024</v>
      </c>
    </row>
    <row r="27" spans="2:18" x14ac:dyDescent="0.3">
      <c r="B27" s="13">
        <v>6</v>
      </c>
      <c r="C27" s="26">
        <v>2025</v>
      </c>
    </row>
    <row r="28" spans="2:18" x14ac:dyDescent="0.3">
      <c r="B28" s="13">
        <v>7</v>
      </c>
      <c r="C28" s="26">
        <v>2026</v>
      </c>
    </row>
    <row r="29" spans="2:18" x14ac:dyDescent="0.3">
      <c r="B29" s="13">
        <v>8</v>
      </c>
      <c r="C29" s="26">
        <v>2027</v>
      </c>
    </row>
    <row r="30" spans="2:18" x14ac:dyDescent="0.3">
      <c r="B30" s="13">
        <v>9</v>
      </c>
      <c r="C30" s="26">
        <v>2028</v>
      </c>
    </row>
    <row r="31" spans="2:18" ht="14.4" thickBot="1" x14ac:dyDescent="0.35">
      <c r="B31" s="14">
        <v>10</v>
      </c>
      <c r="C31" s="27">
        <v>2029</v>
      </c>
    </row>
    <row r="33" spans="1:125" ht="14.4" x14ac:dyDescent="0.3">
      <c r="A33" s="11"/>
      <c r="B33" s="11"/>
    </row>
    <row r="35" spans="1:125" ht="14.4" x14ac:dyDescent="0.3">
      <c r="C35" s="11"/>
      <c r="D35" s="11"/>
      <c r="E35" s="11"/>
      <c r="F35" s="11"/>
      <c r="G35" s="11"/>
      <c r="H35" s="11"/>
      <c r="I35" s="11"/>
      <c r="J35" s="11"/>
      <c r="K35" s="11"/>
    </row>
    <row r="36" spans="1:125" ht="14.4" x14ac:dyDescent="0.3">
      <c r="C36" s="11"/>
      <c r="D36" s="11"/>
      <c r="E36" s="11"/>
      <c r="G36" s="11"/>
      <c r="H36" s="11"/>
      <c r="I36" s="11"/>
      <c r="J36" s="11"/>
      <c r="K36" s="11"/>
    </row>
    <row r="37" spans="1:125" ht="14.4" x14ac:dyDescent="0.3">
      <c r="C37" s="11"/>
      <c r="D37" s="11"/>
      <c r="E37" s="85"/>
      <c r="F37" s="85"/>
      <c r="G37" s="85"/>
      <c r="H37" s="11"/>
      <c r="I37" s="86"/>
      <c r="J37" s="11"/>
      <c r="K37" s="11"/>
    </row>
    <row r="38" spans="1:125" ht="14.4" x14ac:dyDescent="0.3">
      <c r="C38" s="11"/>
      <c r="D38" s="11"/>
      <c r="E38" s="11"/>
      <c r="F38" s="11"/>
      <c r="G38" s="11"/>
      <c r="H38" s="11"/>
      <c r="I38" s="86"/>
      <c r="J38" s="11"/>
      <c r="K38" s="11"/>
    </row>
    <row r="39" spans="1:125" ht="14.4" x14ac:dyDescent="0.3">
      <c r="C39" s="11"/>
      <c r="D39" s="11"/>
      <c r="E39" s="11"/>
      <c r="F39" s="11"/>
      <c r="G39" s="11"/>
      <c r="H39" s="11"/>
      <c r="I39" s="86"/>
      <c r="J39" s="11"/>
      <c r="K39" s="11"/>
    </row>
    <row r="40" spans="1:125" ht="15" thickBot="1" x14ac:dyDescent="0.3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</row>
    <row r="41" spans="1:125" ht="21.6" thickBot="1" x14ac:dyDescent="0.35">
      <c r="A41" s="169">
        <v>2020</v>
      </c>
      <c r="B41" s="170"/>
      <c r="C41" s="170"/>
      <c r="D41" s="170"/>
      <c r="E41" s="130"/>
      <c r="F41" s="11"/>
      <c r="G41" s="11"/>
      <c r="H41" s="11"/>
      <c r="I41" s="11"/>
      <c r="J41" s="11"/>
      <c r="K41" s="11"/>
      <c r="L41" s="11"/>
    </row>
    <row r="42" spans="1:125" ht="15" thickBot="1" x14ac:dyDescent="0.35">
      <c r="A42" s="154" t="s">
        <v>178</v>
      </c>
      <c r="B42" s="156" t="s">
        <v>169</v>
      </c>
      <c r="C42" s="157"/>
      <c r="D42" s="157"/>
      <c r="E42" s="131"/>
      <c r="F42" s="79" t="s">
        <v>171</v>
      </c>
      <c r="G42" s="11" t="s">
        <v>170</v>
      </c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84"/>
      <c r="AH42" s="84"/>
      <c r="AI42" s="84"/>
      <c r="AJ42" s="84"/>
      <c r="AK42" s="84"/>
      <c r="AL42" s="84"/>
      <c r="AM42" s="84"/>
      <c r="AN42" s="84"/>
      <c r="AO42" s="84"/>
      <c r="AP42" s="84"/>
      <c r="AQ42" s="84"/>
      <c r="AR42" s="84"/>
      <c r="AS42" s="84"/>
      <c r="AT42" s="84"/>
      <c r="AU42" s="84"/>
      <c r="AV42" s="84"/>
      <c r="AW42" s="84"/>
      <c r="AX42" s="84"/>
      <c r="AY42" s="84"/>
      <c r="AZ42" s="84"/>
      <c r="BA42" s="84"/>
      <c r="BB42" s="84"/>
      <c r="BC42" s="84"/>
      <c r="BD42" s="84"/>
      <c r="BE42" s="84"/>
      <c r="BF42" s="84"/>
      <c r="BG42" s="84"/>
      <c r="BH42" s="84"/>
      <c r="BI42" s="84"/>
      <c r="BJ42" s="84"/>
      <c r="BK42" s="84"/>
      <c r="BL42" s="84"/>
      <c r="BM42" s="84"/>
      <c r="BN42" s="84"/>
      <c r="BO42" s="84"/>
      <c r="BP42" s="84"/>
      <c r="BQ42" s="84"/>
      <c r="BR42" s="84"/>
      <c r="BS42" s="84"/>
      <c r="BT42" s="84"/>
      <c r="BU42" s="84"/>
      <c r="BV42" s="84"/>
      <c r="BW42" s="84"/>
      <c r="BX42" s="84"/>
      <c r="BY42" s="84"/>
      <c r="BZ42" s="84"/>
      <c r="CA42" s="84"/>
      <c r="CB42" s="84"/>
      <c r="CC42" s="84"/>
      <c r="CD42" s="84"/>
      <c r="CE42" s="84"/>
      <c r="CF42" s="84"/>
      <c r="CG42" s="84"/>
      <c r="CH42" s="84"/>
      <c r="CI42" s="84"/>
      <c r="CJ42" s="84"/>
      <c r="CK42" s="84"/>
      <c r="CL42" s="84"/>
      <c r="CM42" s="84"/>
      <c r="CN42" s="84"/>
      <c r="CO42" s="84"/>
      <c r="CP42" s="84"/>
      <c r="CQ42" s="84"/>
      <c r="CR42" s="84"/>
      <c r="CS42" s="84"/>
      <c r="CT42" s="84"/>
      <c r="CU42" s="84"/>
      <c r="CV42" s="84"/>
      <c r="CW42" s="84"/>
      <c r="CX42" s="84"/>
      <c r="CY42" s="84"/>
      <c r="CZ42" s="84"/>
      <c r="DA42" s="84"/>
      <c r="DB42" s="84"/>
      <c r="DC42" s="84"/>
      <c r="DD42" s="84"/>
      <c r="DE42" s="84"/>
      <c r="DF42" s="84"/>
      <c r="DG42" s="84"/>
      <c r="DH42" s="84"/>
      <c r="DI42" s="84"/>
      <c r="DJ42" s="84"/>
      <c r="DK42" s="84"/>
      <c r="DL42" s="84"/>
      <c r="DM42" s="84"/>
      <c r="DN42" s="84"/>
      <c r="DO42" s="84"/>
      <c r="DP42" s="84"/>
      <c r="DQ42" s="84"/>
      <c r="DR42" s="84"/>
      <c r="DS42" s="84"/>
    </row>
    <row r="43" spans="1:125" ht="15" thickBot="1" x14ac:dyDescent="0.35">
      <c r="A43" s="155"/>
      <c r="B43" s="161">
        <v>8</v>
      </c>
      <c r="C43" s="162">
        <v>9</v>
      </c>
      <c r="D43" s="163" t="s">
        <v>168</v>
      </c>
      <c r="E43" s="131"/>
      <c r="F43" s="145" t="s">
        <v>115</v>
      </c>
      <c r="G43" s="146">
        <f>GETPIVOTDATA("VALOR",$A$42)</f>
        <v>34744.5</v>
      </c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</row>
    <row r="44" spans="1:125" ht="15" thickBot="1" x14ac:dyDescent="0.35">
      <c r="A44" s="156" t="s">
        <v>167</v>
      </c>
      <c r="B44" s="88"/>
      <c r="C44" s="88"/>
      <c r="D44" s="164"/>
      <c r="E44" s="131"/>
      <c r="F44" s="145" t="s">
        <v>116</v>
      </c>
      <c r="G44" s="146">
        <f>GETPIVOTDATA("VALOR",$A$49)</f>
        <v>27060</v>
      </c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</row>
    <row r="45" spans="1:125" ht="14.4" x14ac:dyDescent="0.3">
      <c r="A45" s="158" t="s">
        <v>8</v>
      </c>
      <c r="B45" s="149">
        <v>2690</v>
      </c>
      <c r="C45" s="150">
        <v>21504.5</v>
      </c>
      <c r="D45" s="151">
        <v>24194.5</v>
      </c>
      <c r="E45" s="131"/>
      <c r="F45" s="145" t="s">
        <v>117</v>
      </c>
      <c r="G45" s="146">
        <f>GETPIVOTDATA("VALOR",$A$56)</f>
        <v>58339.22</v>
      </c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</row>
    <row r="46" spans="1:125" ht="15" thickBot="1" x14ac:dyDescent="0.35">
      <c r="A46" s="159" t="s">
        <v>2</v>
      </c>
      <c r="B46" s="152">
        <v>1600</v>
      </c>
      <c r="C46" s="94">
        <v>8950</v>
      </c>
      <c r="D46" s="95">
        <v>10550</v>
      </c>
      <c r="E46" s="131"/>
      <c r="F46" s="145" t="s">
        <v>118</v>
      </c>
      <c r="G46" s="146">
        <f>GETPIVOTDATA("VALOR",$A$64)</f>
        <v>27050</v>
      </c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</row>
    <row r="47" spans="1:125" ht="15" thickBot="1" x14ac:dyDescent="0.35">
      <c r="A47" s="160" t="s">
        <v>168</v>
      </c>
      <c r="B47" s="153">
        <v>4290</v>
      </c>
      <c r="C47" s="89">
        <v>30454.5</v>
      </c>
      <c r="D47" s="90">
        <v>34744.5</v>
      </c>
      <c r="E47" s="131"/>
      <c r="F47"/>
      <c r="G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</row>
    <row r="48" spans="1:125" ht="15" thickBot="1" x14ac:dyDescent="0.35">
      <c r="A48" s="127"/>
      <c r="B48" s="128"/>
      <c r="C48" s="128"/>
      <c r="D48" s="129"/>
      <c r="E48" s="131"/>
      <c r="F48" s="79" t="s">
        <v>211</v>
      </c>
      <c r="G48" s="11" t="s">
        <v>170</v>
      </c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</row>
    <row r="49" spans="1:123" ht="15" customHeight="1" thickBot="1" x14ac:dyDescent="0.35">
      <c r="A49" s="102" t="s">
        <v>177</v>
      </c>
      <c r="B49" s="103" t="s">
        <v>169</v>
      </c>
      <c r="C49" s="104"/>
      <c r="D49" s="104"/>
      <c r="E49" s="132"/>
      <c r="F49" s="145" t="s">
        <v>107</v>
      </c>
      <c r="G49" s="146">
        <f>GETPIVOTDATA("VALOR",$A$73)</f>
        <v>41858.410000000003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</row>
    <row r="50" spans="1:123" ht="15" thickBot="1" x14ac:dyDescent="0.35">
      <c r="A50" s="100"/>
      <c r="B50" s="148">
        <v>9</v>
      </c>
      <c r="C50" s="140">
        <v>10</v>
      </c>
      <c r="D50" s="122" t="s">
        <v>168</v>
      </c>
      <c r="E50" s="132"/>
      <c r="F50" s="145" t="s">
        <v>108</v>
      </c>
      <c r="G50" s="146">
        <f>SUMIF(Tabela5[MÊS],2,Tabela5[VALOR])</f>
        <v>15550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</row>
    <row r="51" spans="1:123" ht="15" thickBot="1" x14ac:dyDescent="0.35">
      <c r="A51" s="103" t="s">
        <v>167</v>
      </c>
      <c r="B51" s="91"/>
      <c r="C51" s="91"/>
      <c r="D51" s="100"/>
      <c r="E51" s="132"/>
      <c r="F51" s="145" t="s">
        <v>109</v>
      </c>
      <c r="G51" s="146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</row>
    <row r="52" spans="1:123" ht="14.4" x14ac:dyDescent="0.3">
      <c r="A52" s="141" t="s">
        <v>8</v>
      </c>
      <c r="B52" s="147">
        <v>950</v>
      </c>
      <c r="C52" s="137">
        <v>10830</v>
      </c>
      <c r="D52" s="138">
        <v>11780</v>
      </c>
      <c r="E52" s="132"/>
      <c r="F52" s="145" t="s">
        <v>110</v>
      </c>
      <c r="G52" s="146"/>
      <c r="H52" s="11"/>
      <c r="I52" s="11"/>
      <c r="J52" s="11"/>
      <c r="K52" s="11"/>
      <c r="L52" s="11"/>
    </row>
    <row r="53" spans="1:123" ht="15" thickBot="1" x14ac:dyDescent="0.35">
      <c r="A53" s="143" t="s">
        <v>2</v>
      </c>
      <c r="B53" s="98">
        <v>2150</v>
      </c>
      <c r="C53" s="96">
        <v>13130</v>
      </c>
      <c r="D53" s="97">
        <v>15280</v>
      </c>
      <c r="E53" s="132"/>
      <c r="F53" s="145" t="s">
        <v>111</v>
      </c>
      <c r="G53" s="146"/>
      <c r="H53" s="11"/>
      <c r="I53" s="11"/>
      <c r="J53" s="11"/>
      <c r="K53" s="11"/>
      <c r="L53" s="11"/>
    </row>
    <row r="54" spans="1:123" ht="15" thickBot="1" x14ac:dyDescent="0.35">
      <c r="A54" s="144" t="s">
        <v>168</v>
      </c>
      <c r="B54" s="99">
        <v>3100</v>
      </c>
      <c r="C54" s="92">
        <v>23960</v>
      </c>
      <c r="D54" s="93">
        <v>27060</v>
      </c>
      <c r="E54" s="132"/>
      <c r="F54" s="145" t="s">
        <v>112</v>
      </c>
      <c r="G54" s="146"/>
      <c r="H54" s="11"/>
      <c r="I54" s="11"/>
      <c r="J54" s="11"/>
      <c r="K54" s="11"/>
      <c r="L54" s="11"/>
    </row>
    <row r="55" spans="1:123" ht="15" thickBot="1" x14ac:dyDescent="0.35">
      <c r="A55" s="125"/>
      <c r="B55" s="124"/>
      <c r="C55" s="124"/>
      <c r="D55" s="126"/>
      <c r="E55" s="132"/>
      <c r="F55" s="145" t="s">
        <v>113</v>
      </c>
      <c r="G55" s="146"/>
      <c r="H55" s="11"/>
      <c r="I55" s="11"/>
      <c r="J55" s="11"/>
      <c r="K55" s="11"/>
      <c r="L55" s="11"/>
    </row>
    <row r="56" spans="1:123" ht="15" thickBot="1" x14ac:dyDescent="0.35">
      <c r="A56" s="102" t="s">
        <v>179</v>
      </c>
      <c r="B56" s="103" t="s">
        <v>169</v>
      </c>
      <c r="C56" s="104"/>
      <c r="D56" s="104"/>
      <c r="E56" s="132"/>
      <c r="F56" s="145" t="s">
        <v>114</v>
      </c>
      <c r="G56" s="14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</row>
    <row r="57" spans="1:123" ht="15" thickBot="1" x14ac:dyDescent="0.35">
      <c r="A57" s="100"/>
      <c r="B57" s="148">
        <v>10</v>
      </c>
      <c r="C57" s="140">
        <v>11</v>
      </c>
      <c r="D57" s="122" t="s">
        <v>168</v>
      </c>
      <c r="E57" s="132"/>
      <c r="F57" s="145" t="s">
        <v>115</v>
      </c>
      <c r="G57" s="146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</row>
    <row r="58" spans="1:123" ht="15" thickBot="1" x14ac:dyDescent="0.35">
      <c r="A58" s="103" t="s">
        <v>167</v>
      </c>
      <c r="B58" s="91"/>
      <c r="C58" s="91"/>
      <c r="D58" s="100"/>
      <c r="E58" s="132"/>
      <c r="F58" s="145" t="s">
        <v>116</v>
      </c>
      <c r="G58" s="146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</row>
    <row r="59" spans="1:123" ht="14.4" x14ac:dyDescent="0.3">
      <c r="A59" s="141" t="s">
        <v>8</v>
      </c>
      <c r="B59" s="147">
        <v>2450</v>
      </c>
      <c r="C59" s="137">
        <v>21844.22</v>
      </c>
      <c r="D59" s="138">
        <v>24294.22</v>
      </c>
      <c r="E59" s="132"/>
      <c r="F59" s="145" t="s">
        <v>117</v>
      </c>
      <c r="G59" s="146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</row>
    <row r="60" spans="1:123" ht="14.4" x14ac:dyDescent="0.3">
      <c r="A60" s="142" t="s">
        <v>2</v>
      </c>
      <c r="B60" s="98">
        <v>9350</v>
      </c>
      <c r="C60" s="96">
        <v>19495</v>
      </c>
      <c r="D60" s="97">
        <v>28845</v>
      </c>
      <c r="E60" s="132"/>
      <c r="F60" s="145" t="s">
        <v>118</v>
      </c>
      <c r="G60" s="146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</row>
    <row r="61" spans="1:123" ht="15" thickBot="1" x14ac:dyDescent="0.35">
      <c r="A61" s="143" t="s">
        <v>206</v>
      </c>
      <c r="B61" s="98"/>
      <c r="C61" s="96">
        <v>5200</v>
      </c>
      <c r="D61" s="97">
        <v>5200</v>
      </c>
      <c r="E61" s="132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</row>
    <row r="62" spans="1:123" ht="15" thickBot="1" x14ac:dyDescent="0.35">
      <c r="A62" s="144" t="s">
        <v>168</v>
      </c>
      <c r="B62" s="99">
        <v>11800</v>
      </c>
      <c r="C62" s="92">
        <v>46539.22</v>
      </c>
      <c r="D62" s="93">
        <v>58339.22</v>
      </c>
      <c r="E62" s="13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</row>
    <row r="63" spans="1:123" ht="15" thickBot="1" x14ac:dyDescent="0.35">
      <c r="A63" s="133"/>
      <c r="B63" s="123"/>
      <c r="C63" s="124"/>
      <c r="D63" s="124"/>
      <c r="E63" s="126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 s="87"/>
      <c r="CJ63" s="87"/>
      <c r="CK63" s="87"/>
      <c r="CL63" s="87"/>
      <c r="CM63" s="87"/>
      <c r="CN63" s="87"/>
      <c r="CO63" s="87"/>
      <c r="CP63" s="87"/>
      <c r="CQ63" s="87"/>
      <c r="CR63" s="87"/>
      <c r="CS63" s="87"/>
      <c r="CT63" s="87"/>
      <c r="CU63" s="87"/>
      <c r="CV63" s="87"/>
      <c r="CW63" s="87"/>
      <c r="CX63" s="87"/>
      <c r="CY63" s="87"/>
      <c r="CZ63" s="87"/>
      <c r="DA63" s="87"/>
      <c r="DB63" s="87"/>
      <c r="DC63" s="87"/>
      <c r="DD63" s="87"/>
      <c r="DE63" s="87"/>
      <c r="DF63" s="87"/>
      <c r="DG63" s="87"/>
      <c r="DH63" s="87"/>
      <c r="DI63" s="87"/>
      <c r="DJ63" s="87"/>
      <c r="DK63" s="87"/>
      <c r="DL63" s="87"/>
      <c r="DM63" s="87"/>
      <c r="DN63" s="87"/>
      <c r="DO63" s="87"/>
      <c r="DP63" s="87"/>
      <c r="DQ63" s="87"/>
      <c r="DR63" s="87"/>
      <c r="DS63" s="87"/>
    </row>
    <row r="64" spans="1:123" ht="15" thickBot="1" x14ac:dyDescent="0.35">
      <c r="A64" s="102" t="s">
        <v>212</v>
      </c>
      <c r="B64" s="103" t="s">
        <v>169</v>
      </c>
      <c r="C64" s="104"/>
      <c r="D64" s="104"/>
      <c r="E64" s="132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</row>
    <row r="65" spans="1:86" ht="15" thickBot="1" x14ac:dyDescent="0.35">
      <c r="A65" s="100"/>
      <c r="B65" s="148">
        <v>11</v>
      </c>
      <c r="C65" s="140">
        <v>12</v>
      </c>
      <c r="D65" s="122" t="s">
        <v>168</v>
      </c>
      <c r="E65" s="132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</row>
    <row r="66" spans="1:86" ht="15" thickBot="1" x14ac:dyDescent="0.35">
      <c r="A66" s="103" t="s">
        <v>167</v>
      </c>
      <c r="B66" s="91"/>
      <c r="C66" s="91"/>
      <c r="D66" s="100"/>
      <c r="E66" s="132"/>
      <c r="F66"/>
      <c r="G66"/>
      <c r="H66"/>
      <c r="I66"/>
      <c r="J66"/>
      <c r="K66"/>
      <c r="L66"/>
      <c r="M66"/>
      <c r="N66"/>
      <c r="O66"/>
      <c r="P66"/>
      <c r="Q66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4"/>
      <c r="AL66" s="84"/>
      <c r="AM66" s="84"/>
      <c r="AN66" s="84"/>
      <c r="AO66" s="84"/>
      <c r="AP66" s="84"/>
      <c r="AQ66" s="84"/>
      <c r="AR66" s="84"/>
      <c r="AS66" s="84"/>
      <c r="AT66" s="84"/>
      <c r="AU66" s="84"/>
      <c r="AV66" s="84"/>
      <c r="AW66" s="84"/>
      <c r="AX66" s="84"/>
      <c r="AY66" s="84"/>
      <c r="AZ66" s="84"/>
      <c r="BA66" s="84"/>
      <c r="BB66" s="84"/>
      <c r="BC66" s="84"/>
      <c r="BD66" s="84"/>
      <c r="BE66" s="84"/>
      <c r="BF66" s="84"/>
      <c r="BG66" s="84"/>
      <c r="BH66" s="84"/>
      <c r="BI66" s="84"/>
      <c r="BJ66" s="84"/>
      <c r="BK66" s="84"/>
      <c r="BL66" s="84"/>
      <c r="BM66" s="84"/>
      <c r="BN66" s="84"/>
      <c r="BO66" s="84"/>
      <c r="BP66" s="84"/>
      <c r="BQ66" s="84"/>
      <c r="BR66" s="84"/>
      <c r="BS66" s="84"/>
      <c r="BT66" s="84"/>
      <c r="BU66" s="84"/>
      <c r="BV66" s="84"/>
      <c r="BW66" s="84"/>
      <c r="BX66" s="84"/>
      <c r="BY66" s="84"/>
      <c r="BZ66" s="84"/>
      <c r="CA66" s="84"/>
      <c r="CB66" s="84"/>
      <c r="CC66" s="84"/>
      <c r="CD66" s="84"/>
      <c r="CE66" s="84"/>
      <c r="CF66" s="84"/>
      <c r="CG66" s="84"/>
      <c r="CH66" s="84"/>
    </row>
    <row r="67" spans="1:86" ht="14.4" x14ac:dyDescent="0.3">
      <c r="A67" s="141" t="s">
        <v>8</v>
      </c>
      <c r="B67" s="147">
        <v>2800</v>
      </c>
      <c r="C67" s="137">
        <v>15750</v>
      </c>
      <c r="D67" s="138">
        <v>18550</v>
      </c>
      <c r="E67" s="132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 s="87"/>
      <c r="U67" s="87"/>
      <c r="V67" s="87"/>
      <c r="W67" s="87"/>
      <c r="X67" s="87"/>
      <c r="Y67" s="87"/>
      <c r="Z67" s="87"/>
      <c r="AA67" s="87"/>
      <c r="AB67" s="87"/>
      <c r="AC67" s="87"/>
      <c r="AD67" s="87"/>
      <c r="AE67" s="87"/>
      <c r="AF67" s="87"/>
      <c r="AG67" s="87"/>
      <c r="AH67" s="87"/>
      <c r="AI67" s="87"/>
      <c r="AJ67" s="87"/>
      <c r="AK67" s="87"/>
      <c r="AL67" s="87"/>
      <c r="AM67" s="87"/>
      <c r="AN67" s="87"/>
      <c r="AO67" s="87"/>
      <c r="AP67" s="87"/>
      <c r="AQ67" s="87"/>
      <c r="AR67" s="87"/>
      <c r="AS67" s="87"/>
      <c r="AT67" s="87"/>
      <c r="AU67" s="87"/>
      <c r="AV67" s="87"/>
      <c r="AW67" s="87"/>
      <c r="AX67" s="87"/>
      <c r="AY67" s="87"/>
      <c r="AZ67" s="87"/>
      <c r="BA67" s="87"/>
      <c r="BB67" s="87"/>
      <c r="BC67" s="87"/>
      <c r="BD67" s="87"/>
      <c r="BE67" s="87"/>
      <c r="BF67" s="87"/>
      <c r="BG67" s="87"/>
      <c r="BH67" s="87"/>
      <c r="BI67" s="87"/>
      <c r="BJ67" s="87"/>
      <c r="BK67" s="87"/>
      <c r="BL67" s="87"/>
      <c r="BM67" s="87"/>
      <c r="BN67" s="87"/>
      <c r="BO67" s="87"/>
      <c r="BP67" s="87"/>
      <c r="BQ67" s="87"/>
      <c r="BR67" s="87"/>
      <c r="BS67" s="87"/>
      <c r="BT67" s="87"/>
      <c r="BU67" s="87"/>
      <c r="BV67" s="87"/>
      <c r="BW67" s="87"/>
      <c r="BX67" s="87"/>
      <c r="BY67" s="87"/>
      <c r="BZ67" s="87"/>
      <c r="CA67" s="87"/>
      <c r="CB67" s="87"/>
      <c r="CC67" s="87"/>
      <c r="CD67" s="87"/>
      <c r="CE67" s="87"/>
      <c r="CF67" s="87"/>
      <c r="CG67" s="87"/>
      <c r="CH67" s="87"/>
    </row>
    <row r="68" spans="1:86" ht="14.4" x14ac:dyDescent="0.3">
      <c r="A68" s="142" t="s">
        <v>2</v>
      </c>
      <c r="B68" s="98"/>
      <c r="C68" s="96">
        <v>2500</v>
      </c>
      <c r="D68" s="97">
        <v>2500</v>
      </c>
      <c r="E68" s="132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86" ht="15" thickBot="1" x14ac:dyDescent="0.35">
      <c r="A69" s="143" t="s">
        <v>206</v>
      </c>
      <c r="B69" s="98"/>
      <c r="C69" s="96">
        <v>6000</v>
      </c>
      <c r="D69" s="97">
        <v>6000</v>
      </c>
      <c r="E69" s="132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 s="87"/>
      <c r="U69" s="87"/>
      <c r="V69" s="87"/>
      <c r="W69" s="87"/>
      <c r="X69" s="87"/>
      <c r="Y69" s="87"/>
      <c r="Z69" s="87"/>
      <c r="AA69" s="87"/>
      <c r="AB69" s="87"/>
      <c r="AC69" s="87"/>
      <c r="AD69" s="87"/>
      <c r="AE69" s="87"/>
      <c r="AF69" s="87"/>
      <c r="AG69" s="87"/>
      <c r="AH69" s="87"/>
      <c r="AI69" s="87"/>
      <c r="AJ69" s="87"/>
      <c r="AK69" s="87"/>
      <c r="AL69" s="87"/>
      <c r="AM69" s="87"/>
      <c r="AN69" s="87"/>
      <c r="AO69" s="87"/>
      <c r="AP69" s="87"/>
      <c r="AQ69" s="87"/>
      <c r="AR69" s="87"/>
      <c r="AS69" s="87"/>
      <c r="AT69" s="87"/>
      <c r="AU69" s="87"/>
      <c r="AV69" s="87"/>
      <c r="AW69" s="87"/>
      <c r="AX69" s="87"/>
      <c r="AY69" s="87"/>
      <c r="AZ69" s="87"/>
      <c r="BA69" s="87"/>
      <c r="BB69" s="87"/>
      <c r="BC69" s="87"/>
      <c r="BD69" s="87"/>
      <c r="BE69" s="87"/>
      <c r="BF69" s="87"/>
      <c r="BG69" s="87"/>
      <c r="BH69" s="87"/>
      <c r="BI69" s="87"/>
      <c r="BJ69" s="87"/>
      <c r="BK69" s="87"/>
      <c r="BL69" s="87"/>
      <c r="BM69" s="87"/>
      <c r="BN69" s="87"/>
      <c r="BO69" s="87"/>
      <c r="BP69" s="87"/>
      <c r="BQ69" s="87"/>
      <c r="BR69" s="87"/>
      <c r="BS69" s="87"/>
      <c r="BT69" s="87"/>
      <c r="BU69" s="87"/>
      <c r="BV69" s="87"/>
      <c r="BW69" s="87"/>
      <c r="BX69" s="87"/>
      <c r="BY69" s="87"/>
      <c r="BZ69" s="87"/>
      <c r="CA69" s="87"/>
      <c r="CB69" s="87"/>
      <c r="CC69" s="87"/>
      <c r="CD69" s="87"/>
      <c r="CE69" s="87"/>
      <c r="CF69" s="87"/>
      <c r="CG69" s="87"/>
      <c r="CH69" s="87"/>
    </row>
    <row r="70" spans="1:86" ht="15" thickBot="1" x14ac:dyDescent="0.35">
      <c r="A70" s="144" t="s">
        <v>168</v>
      </c>
      <c r="B70" s="99">
        <v>2800</v>
      </c>
      <c r="C70" s="92">
        <v>24250</v>
      </c>
      <c r="D70" s="93">
        <v>27050</v>
      </c>
      <c r="E70" s="132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86" ht="15" thickBot="1" x14ac:dyDescent="0.35">
      <c r="A71" s="134"/>
      <c r="B71" s="124"/>
      <c r="C71" s="124"/>
      <c r="D71" s="124"/>
      <c r="E71" s="132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86" ht="21.6" thickBot="1" x14ac:dyDescent="0.35">
      <c r="A72" s="169">
        <v>2021</v>
      </c>
      <c r="B72" s="170"/>
      <c r="C72" s="170"/>
      <c r="D72" s="170"/>
      <c r="E72" s="135"/>
      <c r="F72" s="11"/>
      <c r="G72" s="11"/>
      <c r="H72" s="11"/>
      <c r="I72" s="11"/>
      <c r="J72"/>
      <c r="K72"/>
      <c r="L72"/>
      <c r="M72"/>
    </row>
    <row r="73" spans="1:86" ht="15" thickBot="1" x14ac:dyDescent="0.35">
      <c r="A73" s="102" t="s">
        <v>213</v>
      </c>
      <c r="B73" s="139" t="s">
        <v>169</v>
      </c>
      <c r="C73" s="140"/>
      <c r="D73" s="165"/>
      <c r="E73" s="165"/>
      <c r="F73" s="165"/>
      <c r="G73" s="165"/>
      <c r="H73" s="165"/>
      <c r="I73" s="165"/>
      <c r="J73" s="165"/>
      <c r="K73" s="165"/>
      <c r="L73" s="165"/>
      <c r="M73" s="165"/>
      <c r="N73" s="165"/>
      <c r="O73" s="165"/>
      <c r="P73" s="165"/>
      <c r="Q73" s="165"/>
      <c r="R73" s="140"/>
    </row>
    <row r="74" spans="1:86" ht="15" thickBot="1" x14ac:dyDescent="0.35">
      <c r="A74" s="100"/>
      <c r="B74" s="91">
        <v>12</v>
      </c>
      <c r="C74" s="91">
        <v>1</v>
      </c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 t="s">
        <v>239</v>
      </c>
      <c r="R74" s="136" t="s">
        <v>168</v>
      </c>
    </row>
    <row r="75" spans="1:86" ht="15" thickBot="1" x14ac:dyDescent="0.35">
      <c r="A75" s="103" t="s">
        <v>167</v>
      </c>
      <c r="B75" s="91"/>
      <c r="C75" s="91" t="s">
        <v>240</v>
      </c>
      <c r="D75" s="91" t="s">
        <v>241</v>
      </c>
      <c r="E75" s="91" t="s">
        <v>242</v>
      </c>
      <c r="F75" s="91" t="s">
        <v>243</v>
      </c>
      <c r="G75" s="91" t="s">
        <v>244</v>
      </c>
      <c r="H75" s="91" t="s">
        <v>245</v>
      </c>
      <c r="I75" s="91" t="s">
        <v>246</v>
      </c>
      <c r="J75" s="91" t="s">
        <v>247</v>
      </c>
      <c r="K75" s="91" t="s">
        <v>248</v>
      </c>
      <c r="L75" s="91" t="s">
        <v>249</v>
      </c>
      <c r="M75" s="91" t="s">
        <v>250</v>
      </c>
      <c r="N75" s="91" t="s">
        <v>251</v>
      </c>
      <c r="O75" s="91" t="s">
        <v>252</v>
      </c>
      <c r="P75" s="91" t="s">
        <v>253</v>
      </c>
      <c r="Q75" s="91"/>
      <c r="R75" s="101"/>
      <c r="S75" s="87"/>
      <c r="T75" s="87"/>
      <c r="U75" s="87"/>
      <c r="V75" s="87"/>
      <c r="W75" s="87"/>
      <c r="X75" s="87"/>
      <c r="Y75" s="87"/>
      <c r="Z75" s="87"/>
      <c r="AA75" s="87"/>
      <c r="AB75" s="87"/>
      <c r="AC75" s="87"/>
      <c r="AD75" s="87"/>
      <c r="AE75" s="87"/>
      <c r="AF75" s="87"/>
      <c r="AG75" s="87"/>
      <c r="AH75" s="87"/>
      <c r="AI75" s="87"/>
      <c r="AJ75" s="87"/>
      <c r="AK75" s="87"/>
      <c r="AL75" s="87"/>
      <c r="AM75" s="87"/>
      <c r="AN75" s="87"/>
      <c r="AO75" s="87"/>
      <c r="AP75" s="87"/>
      <c r="AQ75" s="87"/>
      <c r="AR75" s="87"/>
      <c r="AS75" s="87"/>
      <c r="AT75" s="87"/>
      <c r="AU75" s="87"/>
      <c r="AV75" s="87"/>
      <c r="AW75" s="87"/>
      <c r="AX75" s="87"/>
      <c r="AY75" s="87"/>
      <c r="AZ75" s="87"/>
      <c r="BA75" s="87"/>
      <c r="BB75" s="87"/>
      <c r="BC75" s="87"/>
      <c r="BD75" s="87"/>
      <c r="BE75" s="87"/>
      <c r="BF75" s="87"/>
      <c r="BG75" s="87"/>
      <c r="BH75" s="87"/>
      <c r="BI75" s="87"/>
      <c r="BJ75" s="87"/>
      <c r="BK75" s="87"/>
      <c r="BL75" s="87"/>
      <c r="BM75" s="87"/>
      <c r="BN75" s="87"/>
      <c r="BO75" s="87"/>
      <c r="BP75" s="87"/>
      <c r="BQ75" s="87"/>
      <c r="BR75" s="87"/>
      <c r="BS75" s="87"/>
      <c r="BT75" s="87"/>
      <c r="BU75" s="87"/>
      <c r="BV75" s="87"/>
      <c r="BW75" s="87"/>
      <c r="BX75" s="87"/>
      <c r="BY75" s="87"/>
      <c r="BZ75" s="87"/>
      <c r="CA75" s="87"/>
      <c r="CB75" s="87"/>
      <c r="CC75" s="87"/>
      <c r="CD75" s="87"/>
      <c r="CE75" s="87"/>
      <c r="CF75" s="87"/>
      <c r="CG75" s="87"/>
      <c r="CH75" s="87"/>
    </row>
    <row r="76" spans="1:86" ht="14.4" x14ac:dyDescent="0.3">
      <c r="A76" s="141" t="s">
        <v>8</v>
      </c>
      <c r="B76" s="137">
        <v>4548.41</v>
      </c>
      <c r="C76" s="137"/>
      <c r="D76" s="137">
        <v>3300</v>
      </c>
      <c r="E76" s="137">
        <v>400</v>
      </c>
      <c r="F76" s="137">
        <v>1400</v>
      </c>
      <c r="G76" s="137">
        <v>1400</v>
      </c>
      <c r="H76" s="137">
        <v>1900</v>
      </c>
      <c r="I76" s="137">
        <v>2900</v>
      </c>
      <c r="J76" s="137">
        <v>2850</v>
      </c>
      <c r="K76" s="137">
        <v>2000</v>
      </c>
      <c r="L76" s="137">
        <v>2700</v>
      </c>
      <c r="M76" s="137">
        <v>2000</v>
      </c>
      <c r="N76" s="137">
        <v>2150</v>
      </c>
      <c r="O76" s="137">
        <v>1900</v>
      </c>
      <c r="P76" s="137">
        <v>2750</v>
      </c>
      <c r="Q76" s="137">
        <v>27650</v>
      </c>
      <c r="R76" s="138">
        <v>32198.41</v>
      </c>
    </row>
    <row r="77" spans="1:86" ht="15" thickBot="1" x14ac:dyDescent="0.35">
      <c r="A77" s="143" t="s">
        <v>2</v>
      </c>
      <c r="B77" s="96">
        <v>1560</v>
      </c>
      <c r="C77" s="96">
        <v>1700</v>
      </c>
      <c r="D77" s="96"/>
      <c r="E77" s="96">
        <v>2000</v>
      </c>
      <c r="F77" s="96"/>
      <c r="G77" s="96">
        <v>500</v>
      </c>
      <c r="H77" s="96"/>
      <c r="I77" s="96"/>
      <c r="J77" s="96"/>
      <c r="K77" s="96"/>
      <c r="L77" s="96"/>
      <c r="M77" s="96">
        <v>3900</v>
      </c>
      <c r="N77" s="96"/>
      <c r="O77" s="96"/>
      <c r="P77" s="96"/>
      <c r="Q77" s="96">
        <v>8100</v>
      </c>
      <c r="R77" s="97">
        <v>9660</v>
      </c>
    </row>
    <row r="78" spans="1:86" ht="15" thickBot="1" x14ac:dyDescent="0.35">
      <c r="A78" s="144" t="s">
        <v>168</v>
      </c>
      <c r="B78" s="92">
        <v>6108.41</v>
      </c>
      <c r="C78" s="92">
        <v>1700</v>
      </c>
      <c r="D78" s="92">
        <v>3300</v>
      </c>
      <c r="E78" s="92">
        <v>2400</v>
      </c>
      <c r="F78" s="92">
        <v>1400</v>
      </c>
      <c r="G78" s="92">
        <v>1900</v>
      </c>
      <c r="H78" s="92">
        <v>1900</v>
      </c>
      <c r="I78" s="92">
        <v>2900</v>
      </c>
      <c r="J78" s="92">
        <v>2850</v>
      </c>
      <c r="K78" s="92">
        <v>2000</v>
      </c>
      <c r="L78" s="92">
        <v>2700</v>
      </c>
      <c r="M78" s="92">
        <v>5900</v>
      </c>
      <c r="N78" s="92">
        <v>2150</v>
      </c>
      <c r="O78" s="92">
        <v>1900</v>
      </c>
      <c r="P78" s="92">
        <v>2750</v>
      </c>
      <c r="Q78" s="92">
        <v>35750</v>
      </c>
      <c r="R78" s="93">
        <v>41858.410000000003</v>
      </c>
    </row>
    <row r="79" spans="1:86" ht="14.4" x14ac:dyDescent="0.3">
      <c r="A79"/>
      <c r="B79"/>
      <c r="C79"/>
      <c r="D79"/>
      <c r="E79"/>
      <c r="F79"/>
      <c r="G79"/>
      <c r="H79"/>
      <c r="I79"/>
      <c r="J79"/>
      <c r="K79"/>
      <c r="L79"/>
      <c r="M79"/>
    </row>
    <row r="80" spans="1:86" ht="14.4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</row>
    <row r="81" spans="1:12" ht="14.4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</row>
    <row r="82" spans="1:12" ht="14.4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</row>
    <row r="83" spans="1:12" ht="14.4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</row>
    <row r="84" spans="1:12" ht="14.4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</row>
    <row r="85" spans="1:12" ht="14.4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</row>
    <row r="86" spans="1:12" ht="14.4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</row>
    <row r="87" spans="1:12" ht="14.4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</row>
    <row r="88" spans="1:12" ht="14.4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</row>
    <row r="89" spans="1:12" ht="14.4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</row>
    <row r="90" spans="1:12" ht="14.4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</row>
    <row r="91" spans="1:12" ht="14.4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</row>
    <row r="92" spans="1:12" ht="14.4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</row>
    <row r="93" spans="1:12" ht="14.4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</row>
    <row r="94" spans="1:12" ht="14.4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</row>
    <row r="95" spans="1:12" ht="14.4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</row>
    <row r="96" spans="1:12" ht="14.4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</row>
    <row r="97" spans="1:12" ht="14.4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</row>
    <row r="98" spans="1:12" ht="14.4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</row>
    <row r="99" spans="1:12" ht="14.4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</row>
    <row r="100" spans="1:12" ht="14.4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</row>
    <row r="101" spans="1:12" ht="14.4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</row>
    <row r="102" spans="1:12" ht="14.4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</row>
    <row r="103" spans="1:12" ht="14.4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</row>
    <row r="104" spans="1:12" ht="14.4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</row>
    <row r="105" spans="1:12" ht="14.4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</row>
    <row r="106" spans="1:12" ht="14.4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</row>
    <row r="107" spans="1:12" ht="14.4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</row>
    <row r="108" spans="1:12" ht="14.4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</row>
    <row r="109" spans="1:12" ht="14.4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</row>
    <row r="110" spans="1:12" ht="14.4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</row>
    <row r="111" spans="1:12" ht="14.4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</row>
    <row r="112" spans="1:12" ht="14.4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</row>
    <row r="113" spans="1:12" ht="14.4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</row>
    <row r="114" spans="1:12" ht="14.4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</row>
    <row r="115" spans="1:12" ht="14.4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</row>
    <row r="116" spans="1:12" ht="14.4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</row>
    <row r="117" spans="1:12" ht="14.4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</row>
    <row r="118" spans="1:12" ht="14.4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</row>
    <row r="119" spans="1:12" ht="14.4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</row>
    <row r="120" spans="1:12" ht="14.4" x14ac:dyDescent="0.3">
      <c r="A120" s="11"/>
      <c r="B120" s="11"/>
      <c r="C120" s="11"/>
      <c r="D120" s="11"/>
      <c r="E120" s="11"/>
      <c r="F120" s="11"/>
      <c r="G120" s="11"/>
      <c r="J120" s="11"/>
      <c r="K120" s="11"/>
      <c r="L120" s="11"/>
    </row>
    <row r="121" spans="1:12" ht="14.4" x14ac:dyDescent="0.3">
      <c r="A121" s="11"/>
      <c r="B121" s="11"/>
      <c r="C121" s="11"/>
      <c r="D121" s="11"/>
      <c r="E121" s="11"/>
      <c r="F121" s="11"/>
      <c r="G121" s="11"/>
      <c r="J121" s="11"/>
      <c r="K121" s="11"/>
      <c r="L121" s="11"/>
    </row>
    <row r="122" spans="1:12" ht="14.4" x14ac:dyDescent="0.3">
      <c r="A122" s="11"/>
      <c r="B122" s="11"/>
      <c r="C122" s="11"/>
      <c r="D122" s="11"/>
      <c r="E122" s="11"/>
      <c r="F122" s="11"/>
      <c r="G122" s="11"/>
      <c r="J122" s="11"/>
      <c r="K122" s="11"/>
      <c r="L122" s="11"/>
    </row>
    <row r="123" spans="1:12" ht="14.4" x14ac:dyDescent="0.3">
      <c r="A123" s="11"/>
      <c r="B123" s="11"/>
      <c r="C123" s="11"/>
      <c r="D123" s="11"/>
      <c r="E123" s="11"/>
      <c r="F123" s="11"/>
      <c r="G123" s="11"/>
      <c r="J123" s="11"/>
      <c r="K123" s="11"/>
      <c r="L123" s="11"/>
    </row>
    <row r="124" spans="1:12" ht="14.4" x14ac:dyDescent="0.3">
      <c r="A124" s="11"/>
      <c r="B124" s="11"/>
      <c r="C124" s="11"/>
      <c r="D124" s="11"/>
      <c r="E124" s="11"/>
      <c r="F124" s="11"/>
      <c r="G124" s="11"/>
      <c r="J124" s="11"/>
      <c r="K124" s="11"/>
      <c r="L124" s="11"/>
    </row>
    <row r="125" spans="1:12" ht="14.4" x14ac:dyDescent="0.3">
      <c r="A125" s="11"/>
      <c r="B125" s="11"/>
      <c r="C125" s="11"/>
      <c r="D125" s="11"/>
      <c r="E125" s="11"/>
      <c r="F125" s="11"/>
      <c r="G125" s="11"/>
      <c r="J125" s="11"/>
      <c r="K125" s="11"/>
      <c r="L125" s="11"/>
    </row>
    <row r="126" spans="1:12" ht="14.4" x14ac:dyDescent="0.3">
      <c r="A126" s="11"/>
      <c r="B126" s="11"/>
      <c r="C126" s="11"/>
      <c r="D126" s="11"/>
      <c r="E126" s="11"/>
      <c r="F126" s="11"/>
      <c r="G126" s="11"/>
      <c r="J126" s="11"/>
      <c r="K126" s="11"/>
      <c r="L126" s="11"/>
    </row>
    <row r="127" spans="1:12" ht="14.4" x14ac:dyDescent="0.3">
      <c r="A127" s="11"/>
      <c r="B127" s="11"/>
      <c r="C127" s="11"/>
      <c r="D127" s="11"/>
      <c r="E127" s="11"/>
      <c r="F127" s="11"/>
      <c r="G127" s="11"/>
      <c r="J127" s="11"/>
      <c r="K127" s="11"/>
      <c r="L127" s="11"/>
    </row>
  </sheetData>
  <mergeCells count="4">
    <mergeCell ref="A72:D72"/>
    <mergeCell ref="J12:K12"/>
    <mergeCell ref="L12:M12"/>
    <mergeCell ref="A41:D41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6"/>
  <tableParts count="4"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F459-E9A1-4144-874B-220ABDBEE10F}">
  <sheetPr codeName="Planilha7">
    <tabColor rgb="FFA8B7BA"/>
  </sheetPr>
  <dimension ref="A1"/>
  <sheetViews>
    <sheetView showGridLines="0" showRowColHeaders="0" tabSelected="1" zoomScale="130" zoomScaleNormal="130" workbookViewId="0"/>
  </sheetViews>
  <sheetFormatPr defaultColWidth="8.88671875" defaultRowHeight="14.4" x14ac:dyDescent="0.3"/>
  <cols>
    <col min="1" max="1" width="206.6640625" style="112" customWidth="1"/>
    <col min="2" max="16384" width="8.88671875" style="112"/>
  </cols>
  <sheetData>
    <row r="1" spans="1:1" ht="409.2" customHeight="1" x14ac:dyDescent="0.3">
      <c r="A1" s="11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D6D6-495B-43F7-BF62-166861F06433}">
  <sheetPr codeName="Planilha1"/>
  <dimension ref="A1:I58"/>
  <sheetViews>
    <sheetView showGridLines="0" showRowColHeaders="0" topLeftCell="B2" zoomScale="240" zoomScaleNormal="240" workbookViewId="0">
      <pane ySplit="1" topLeftCell="A3" activePane="bottomLeft" state="frozen"/>
      <selection activeCell="E2" sqref="E2"/>
      <selection pane="bottomLeft" activeCell="F12" sqref="F12"/>
    </sheetView>
  </sheetViews>
  <sheetFormatPr defaultColWidth="10.6640625" defaultRowHeight="13.8" zeroHeight="1" x14ac:dyDescent="0.3"/>
  <cols>
    <col min="1" max="1" width="9.109375" style="37" hidden="1" customWidth="1"/>
    <col min="2" max="2" width="6.5546875" style="105" customWidth="1"/>
    <col min="3" max="3" width="15.109375" style="105" bestFit="1" customWidth="1"/>
    <col min="4" max="5" width="9.109375" style="105" customWidth="1"/>
    <col min="6" max="6" width="14.33203125" style="105" bestFit="1" customWidth="1"/>
    <col min="7" max="7" width="9.109375" style="105" customWidth="1"/>
    <col min="8" max="8" width="16" style="105" customWidth="1"/>
    <col min="9" max="9" width="11.44140625" style="105" customWidth="1"/>
    <col min="10" max="16384" width="10.6640625" style="105"/>
  </cols>
  <sheetData>
    <row r="1" spans="1:9" ht="45" hidden="1" customHeight="1" x14ac:dyDescent="0.3">
      <c r="A1" s="1"/>
      <c r="B1" s="1"/>
      <c r="C1" s="1"/>
      <c r="D1" s="1"/>
      <c r="E1" s="29"/>
      <c r="F1" s="1"/>
      <c r="G1" s="1"/>
      <c r="H1" s="1"/>
      <c r="I1" s="1"/>
    </row>
    <row r="2" spans="1:9" ht="45" customHeight="1" x14ac:dyDescent="0.3">
      <c r="B2" s="37"/>
      <c r="C2" s="37"/>
      <c r="D2" s="37"/>
      <c r="E2" s="37"/>
      <c r="F2" s="37"/>
      <c r="G2" s="37"/>
      <c r="H2" s="37"/>
      <c r="I2" s="37"/>
    </row>
    <row r="3" spans="1:9" ht="4.8" customHeight="1" thickBot="1" x14ac:dyDescent="0.35">
      <c r="A3" s="38"/>
      <c r="B3" s="39"/>
      <c r="C3" s="38"/>
      <c r="D3" s="38"/>
      <c r="E3" s="38"/>
      <c r="F3" s="38"/>
      <c r="G3" s="38"/>
      <c r="H3" s="38"/>
      <c r="I3" s="38"/>
    </row>
    <row r="4" spans="1:9" ht="18" customHeight="1" thickBot="1" x14ac:dyDescent="0.35">
      <c r="B4" s="77">
        <f ca="1">TODAY()</f>
        <v>44574</v>
      </c>
      <c r="C4" s="78"/>
      <c r="D4" s="175"/>
      <c r="E4" s="176"/>
      <c r="F4" s="176"/>
      <c r="G4" s="176"/>
      <c r="H4" s="177"/>
      <c r="I4" s="38"/>
    </row>
    <row r="5" spans="1:9" ht="18" customHeight="1" thickBot="1" x14ac:dyDescent="0.35">
      <c r="B5" s="38"/>
      <c r="C5" s="78"/>
      <c r="D5" s="178"/>
      <c r="E5" s="179"/>
      <c r="F5" s="42"/>
      <c r="G5" s="40"/>
      <c r="H5" s="40"/>
      <c r="I5" s="38"/>
    </row>
    <row r="6" spans="1:9" ht="18" customHeight="1" thickBot="1" x14ac:dyDescent="0.35">
      <c r="B6" s="38"/>
      <c r="C6" s="78"/>
      <c r="D6" s="175"/>
      <c r="E6" s="177"/>
      <c r="F6" s="40"/>
      <c r="G6" s="40"/>
      <c r="H6" s="40"/>
      <c r="I6" s="38"/>
    </row>
    <row r="7" spans="1:9" ht="18" customHeight="1" thickBot="1" x14ac:dyDescent="0.35">
      <c r="B7" s="38"/>
      <c r="C7" s="78"/>
      <c r="D7" s="175"/>
      <c r="E7" s="177"/>
      <c r="F7" s="41"/>
      <c r="G7" s="40"/>
      <c r="H7" s="40"/>
      <c r="I7" s="38"/>
    </row>
    <row r="8" spans="1:9" ht="18" customHeight="1" thickBot="1" x14ac:dyDescent="0.35">
      <c r="B8" s="38"/>
      <c r="C8" s="78"/>
      <c r="D8" s="175"/>
      <c r="E8" s="177"/>
      <c r="F8" s="40"/>
      <c r="G8" s="40"/>
      <c r="H8" s="40"/>
      <c r="I8" s="38"/>
    </row>
    <row r="9" spans="1:9" ht="7.2" customHeight="1" thickBot="1" x14ac:dyDescent="0.35">
      <c r="B9" s="38"/>
      <c r="C9" s="38"/>
      <c r="D9" s="38"/>
      <c r="E9" s="38"/>
      <c r="F9" s="38"/>
      <c r="G9" s="38"/>
      <c r="H9" s="38"/>
      <c r="I9" s="38"/>
    </row>
    <row r="10" spans="1:9" ht="21" customHeight="1" thickBot="1" x14ac:dyDescent="0.35">
      <c r="B10" s="38"/>
      <c r="C10" s="38"/>
      <c r="D10" s="173">
        <f ca="1">SUMIF(Tabela5[DATA],TODAY(),Tabela5[VALOR])</f>
        <v>0</v>
      </c>
      <c r="E10" s="174"/>
      <c r="F10" s="38"/>
      <c r="G10" s="38"/>
      <c r="H10" s="38"/>
      <c r="I10" s="38"/>
    </row>
    <row r="11" spans="1:9" ht="21" customHeight="1" x14ac:dyDescent="0.3">
      <c r="B11" s="38"/>
      <c r="C11" s="38"/>
      <c r="D11" s="38"/>
      <c r="E11" s="38"/>
      <c r="F11" s="38"/>
      <c r="G11" s="38"/>
      <c r="H11" s="38"/>
      <c r="I11" s="38"/>
    </row>
    <row r="12" spans="1:9" ht="21" customHeight="1" x14ac:dyDescent="0.3">
      <c r="B12" s="38"/>
      <c r="C12" s="38"/>
      <c r="D12" s="38"/>
      <c r="E12" s="38"/>
      <c r="F12" s="38"/>
      <c r="G12" s="38"/>
      <c r="H12" s="38"/>
      <c r="I12" s="38"/>
    </row>
    <row r="13" spans="1:9" ht="21" customHeight="1" x14ac:dyDescent="0.3">
      <c r="B13" s="38"/>
      <c r="C13" s="38"/>
      <c r="D13" s="38"/>
      <c r="E13" s="38"/>
      <c r="F13" s="38"/>
      <c r="G13" s="38"/>
      <c r="H13" s="38"/>
      <c r="I13" s="38"/>
    </row>
    <row r="14" spans="1:9" ht="21" customHeight="1" x14ac:dyDescent="0.3"/>
    <row r="15" spans="1:9" ht="21" customHeight="1" x14ac:dyDescent="0.3"/>
    <row r="16" spans="1:9" x14ac:dyDescent="0.3"/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  <row r="3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spans="1:1" x14ac:dyDescent="0.3"/>
    <row r="50" spans="1:1" x14ac:dyDescent="0.3"/>
    <row r="51" spans="1:1" x14ac:dyDescent="0.3"/>
    <row r="52" spans="1:1" x14ac:dyDescent="0.3"/>
    <row r="53" spans="1:1" x14ac:dyDescent="0.3"/>
    <row r="54" spans="1:1" x14ac:dyDescent="0.3"/>
    <row r="55" spans="1:1" x14ac:dyDescent="0.3"/>
    <row r="56" spans="1:1" s="107" customFormat="1" ht="14.4" customHeight="1" x14ac:dyDescent="0.3">
      <c r="A56" s="106"/>
    </row>
    <row r="57" spans="1:1" s="107" customFormat="1" x14ac:dyDescent="0.3">
      <c r="A57" s="106"/>
    </row>
    <row r="58" spans="1:1" s="107" customFormat="1" ht="14.4" hidden="1" customHeight="1" x14ac:dyDescent="0.3">
      <c r="A58" s="106"/>
    </row>
  </sheetData>
  <mergeCells count="6">
    <mergeCell ref="D10:E10"/>
    <mergeCell ref="D4:H4"/>
    <mergeCell ref="D5:E5"/>
    <mergeCell ref="D7:E7"/>
    <mergeCell ref="D8:E8"/>
    <mergeCell ref="D6:E6"/>
  </mergeCells>
  <dataValidations count="1">
    <dataValidation type="list" allowBlank="1" showInputMessage="1" showErrorMessage="1" sqref="D4:H4" xr:uid="{FE80FA8C-9D6B-4644-9F86-C12FFCE314B9}">
      <formula1>Nomes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6D7252C-C13B-45D1-8A55-55150292ADC9}">
          <x14:formula1>
            <xm:f>Cálculos!$A$2:$A$3</xm:f>
          </x14:formula1>
          <xm:sqref>D8:E8</xm:sqref>
        </x14:dataValidation>
        <x14:dataValidation type="list" errorStyle="warning" showInputMessage="1" xr:uid="{61DF1797-20B3-4EEA-A91D-7D720E56962C}">
          <x14:formula1>
            <xm:f>Cálculos!$A$6:$A$11</xm:f>
          </x14:formula1>
          <xm:sqref>D6:E6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3EA-96CA-41D0-BADE-D8488EA04A5B}">
  <sheetPr codeName="Planilha8"/>
  <dimension ref="A1:H233"/>
  <sheetViews>
    <sheetView showGridLines="0" showRowColHeaders="0" zoomScale="150" zoomScaleNormal="150" workbookViewId="0">
      <pane ySplit="1" topLeftCell="A179" activePane="bottomLeft" state="frozen"/>
      <selection activeCell="E3" sqref="E3"/>
      <selection pane="bottomLeft" activeCell="A226" sqref="A226"/>
    </sheetView>
  </sheetViews>
  <sheetFormatPr defaultRowHeight="18" customHeight="1" x14ac:dyDescent="0.3"/>
  <cols>
    <col min="1" max="1" width="16.88671875" style="110" bestFit="1" customWidth="1"/>
    <col min="2" max="2" width="49.44140625" style="108" customWidth="1"/>
    <col min="3" max="3" width="27.109375" style="108" customWidth="1"/>
    <col min="4" max="4" width="15" style="108" customWidth="1"/>
    <col min="5" max="5" width="14.44140625" style="108" customWidth="1"/>
    <col min="6" max="6" width="9.88671875" style="108" customWidth="1"/>
    <col min="7" max="7" width="9.44140625" style="111" customWidth="1"/>
    <col min="8" max="8" width="9.44140625" style="108" bestFit="1" customWidth="1"/>
    <col min="9" max="16384" width="8.88671875" style="108"/>
  </cols>
  <sheetData>
    <row r="1" spans="1:8" ht="45" customHeight="1" x14ac:dyDescent="0.3">
      <c r="A1" s="180"/>
      <c r="B1" s="180"/>
      <c r="C1" s="180"/>
      <c r="D1" s="180"/>
      <c r="E1" s="40"/>
      <c r="F1" s="43"/>
      <c r="G1" s="44"/>
      <c r="H1" s="43"/>
    </row>
    <row r="2" spans="1:8" ht="18" customHeight="1" thickBot="1" x14ac:dyDescent="0.35">
      <c r="A2" s="43"/>
      <c r="B2" s="43"/>
      <c r="C2" s="43"/>
      <c r="D2" s="43"/>
      <c r="E2" s="43"/>
      <c r="F2" s="43"/>
      <c r="G2" s="44"/>
      <c r="H2" s="43"/>
    </row>
    <row r="3" spans="1:8" ht="18" customHeight="1" thickBot="1" x14ac:dyDescent="0.35">
      <c r="A3" s="57" t="s">
        <v>122</v>
      </c>
      <c r="B3" s="58">
        <f>SUM(Tabela5[VALOR])</f>
        <v>204602.13</v>
      </c>
      <c r="C3" s="43"/>
      <c r="D3" s="43"/>
      <c r="E3" s="43"/>
      <c r="F3" s="43"/>
      <c r="G3" s="44"/>
      <c r="H3" s="43"/>
    </row>
    <row r="4" spans="1:8" ht="13.8" x14ac:dyDescent="0.3">
      <c r="A4" s="43"/>
      <c r="B4" s="43"/>
      <c r="C4" s="119"/>
      <c r="D4" s="43"/>
      <c r="E4" s="43"/>
      <c r="F4" s="43"/>
      <c r="G4" s="44"/>
      <c r="H4" s="43"/>
    </row>
    <row r="5" spans="1:8" ht="22.8" x14ac:dyDescent="0.3">
      <c r="A5" s="53" t="s">
        <v>0</v>
      </c>
      <c r="B5" s="54" t="s">
        <v>3</v>
      </c>
      <c r="C5" s="54" t="s">
        <v>5</v>
      </c>
      <c r="D5" s="54" t="s">
        <v>4</v>
      </c>
      <c r="E5" s="54" t="s">
        <v>6</v>
      </c>
      <c r="F5" s="55" t="s">
        <v>7</v>
      </c>
      <c r="G5" s="56" t="s">
        <v>105</v>
      </c>
      <c r="H5" s="74" t="s">
        <v>124</v>
      </c>
    </row>
    <row r="6" spans="1:8" ht="18" customHeight="1" x14ac:dyDescent="0.3">
      <c r="A6" s="71"/>
      <c r="B6" s="45"/>
      <c r="C6" s="45"/>
      <c r="D6" s="45"/>
      <c r="E6" s="46"/>
      <c r="F6" s="68"/>
      <c r="G6" s="67" t="str">
        <f>IF(F6="","",MONTH(Tabela5[[#This Row],[DATA]]))</f>
        <v/>
      </c>
      <c r="H6" s="73"/>
    </row>
    <row r="7" spans="1:8" ht="18" customHeight="1" x14ac:dyDescent="0.3">
      <c r="A7" s="71"/>
      <c r="B7" s="45"/>
      <c r="C7" s="45"/>
      <c r="D7" s="45"/>
      <c r="E7" s="46"/>
      <c r="F7" s="68"/>
      <c r="G7" s="67" t="str">
        <f>IF(F7="","",MONTH(Tabela5[[#This Row],[DATA]]))</f>
        <v/>
      </c>
      <c r="H7" s="73" t="str">
        <f>TEXT(Tabela5[[#This Row],[DATA]],"Geral")</f>
        <v>0</v>
      </c>
    </row>
    <row r="8" spans="1:8" ht="18" customHeight="1" x14ac:dyDescent="0.3">
      <c r="A8" s="71"/>
      <c r="B8" s="45" t="s">
        <v>259</v>
      </c>
      <c r="C8" s="45" t="s">
        <v>13</v>
      </c>
      <c r="D8" s="45" t="s">
        <v>2</v>
      </c>
      <c r="E8" s="46">
        <v>4000</v>
      </c>
      <c r="F8" s="68">
        <v>44233</v>
      </c>
      <c r="G8" s="67">
        <f>IF(F8="","",MONTH(Tabela5[[#This Row],[DATA]]))</f>
        <v>2</v>
      </c>
      <c r="H8" s="73" t="str">
        <f>TEXT(Tabela5[[#This Row],[DATA]],"Geral")</f>
        <v>44233</v>
      </c>
    </row>
    <row r="9" spans="1:8" ht="18" customHeight="1" x14ac:dyDescent="0.3">
      <c r="A9" s="71"/>
      <c r="B9" s="45" t="s">
        <v>214</v>
      </c>
      <c r="C9" s="45" t="s">
        <v>13</v>
      </c>
      <c r="D9" s="45" t="s">
        <v>8</v>
      </c>
      <c r="E9" s="46">
        <v>2300</v>
      </c>
      <c r="F9" s="68">
        <v>44232</v>
      </c>
      <c r="G9" s="67">
        <f>IF(F9="","",MONTH(Tabela5[[#This Row],[DATA]]))</f>
        <v>2</v>
      </c>
      <c r="H9" s="73" t="str">
        <f>TEXT(Tabela5[[#This Row],[DATA]],"Geral")</f>
        <v>44232</v>
      </c>
    </row>
    <row r="10" spans="1:8" ht="18" customHeight="1" x14ac:dyDescent="0.3">
      <c r="A10" s="71"/>
      <c r="B10" s="45" t="s">
        <v>258</v>
      </c>
      <c r="C10" s="45" t="s">
        <v>10</v>
      </c>
      <c r="D10" s="45" t="s">
        <v>8</v>
      </c>
      <c r="E10" s="46">
        <v>1000</v>
      </c>
      <c r="F10" s="68">
        <v>44232</v>
      </c>
      <c r="G10" s="67">
        <f>IF(F10="","",MONTH(Tabela5[[#This Row],[DATA]]))</f>
        <v>2</v>
      </c>
      <c r="H10" s="73" t="str">
        <f>TEXT(Tabela5[[#This Row],[DATA]],"Geral")</f>
        <v>44232</v>
      </c>
    </row>
    <row r="11" spans="1:8" ht="18" customHeight="1" x14ac:dyDescent="0.3">
      <c r="A11" s="71"/>
      <c r="B11" s="45" t="s">
        <v>255</v>
      </c>
      <c r="C11" s="45" t="s">
        <v>10</v>
      </c>
      <c r="D11" s="45" t="s">
        <v>8</v>
      </c>
      <c r="E11" s="46">
        <v>200</v>
      </c>
      <c r="F11" s="68">
        <v>44232</v>
      </c>
      <c r="G11" s="67">
        <f>IF(F11="","",MONTH(Tabela5[[#This Row],[DATA]]))</f>
        <v>2</v>
      </c>
      <c r="H11" s="73" t="str">
        <f>TEXT(Tabela5[[#This Row],[DATA]],"Geral")</f>
        <v>44232</v>
      </c>
    </row>
    <row r="12" spans="1:8" ht="18" customHeight="1" x14ac:dyDescent="0.3">
      <c r="A12" s="71"/>
      <c r="B12" s="45" t="s">
        <v>257</v>
      </c>
      <c r="C12" s="45" t="s">
        <v>10</v>
      </c>
      <c r="D12" s="45" t="s">
        <v>8</v>
      </c>
      <c r="E12" s="46">
        <v>200</v>
      </c>
      <c r="F12" s="68">
        <v>44232</v>
      </c>
      <c r="G12" s="67">
        <f>IF(F12="","",MONTH(Tabela5[[#This Row],[DATA]]))</f>
        <v>2</v>
      </c>
      <c r="H12" s="73" t="str">
        <f>TEXT(Tabela5[[#This Row],[DATA]],"Geral")</f>
        <v>44232</v>
      </c>
    </row>
    <row r="13" spans="1:8" ht="18" customHeight="1" x14ac:dyDescent="0.3">
      <c r="A13" s="71"/>
      <c r="B13" s="45" t="s">
        <v>256</v>
      </c>
      <c r="C13" s="45" t="s">
        <v>13</v>
      </c>
      <c r="D13" s="45" t="s">
        <v>8</v>
      </c>
      <c r="E13" s="46">
        <v>1850</v>
      </c>
      <c r="F13" s="68">
        <v>44231</v>
      </c>
      <c r="G13" s="67">
        <f>IF(F13="","",MONTH(Tabela5[[#This Row],[DATA]]))</f>
        <v>2</v>
      </c>
      <c r="H13" s="73" t="str">
        <f>TEXT(Tabela5[[#This Row],[DATA]],"Geral")</f>
        <v>44231</v>
      </c>
    </row>
    <row r="14" spans="1:8" ht="18" customHeight="1" x14ac:dyDescent="0.3">
      <c r="A14" s="71"/>
      <c r="B14" s="45" t="s">
        <v>255</v>
      </c>
      <c r="C14" s="45" t="s">
        <v>10</v>
      </c>
      <c r="D14" s="45" t="s">
        <v>8</v>
      </c>
      <c r="E14" s="46">
        <v>200</v>
      </c>
      <c r="F14" s="68">
        <v>44231</v>
      </c>
      <c r="G14" s="67">
        <f>IF(F14="","",MONTH(Tabela5[[#This Row],[DATA]]))</f>
        <v>2</v>
      </c>
      <c r="H14" s="73" t="str">
        <f>TEXT(Tabela5[[#This Row],[DATA]],"Geral")</f>
        <v>44231</v>
      </c>
    </row>
    <row r="15" spans="1:8" ht="18" customHeight="1" x14ac:dyDescent="0.3">
      <c r="A15" s="71"/>
      <c r="B15" s="45" t="s">
        <v>254</v>
      </c>
      <c r="C15" s="45" t="s">
        <v>10</v>
      </c>
      <c r="D15" s="45" t="s">
        <v>8</v>
      </c>
      <c r="E15" s="46">
        <v>200</v>
      </c>
      <c r="F15" s="68">
        <v>44231</v>
      </c>
      <c r="G15" s="67">
        <f>IF(F15="","",MONTH(Tabela5[[#This Row],[DATA]]))</f>
        <v>2</v>
      </c>
      <c r="H15" s="73" t="str">
        <f>TEXT(Tabela5[[#This Row],[DATA]],"Geral")</f>
        <v>44231</v>
      </c>
    </row>
    <row r="16" spans="1:8" ht="18" customHeight="1" x14ac:dyDescent="0.3">
      <c r="A16" s="71"/>
      <c r="B16" s="45" t="s">
        <v>238</v>
      </c>
      <c r="C16" s="45" t="s">
        <v>10</v>
      </c>
      <c r="D16" s="45" t="s">
        <v>8</v>
      </c>
      <c r="E16" s="46">
        <v>100</v>
      </c>
      <c r="F16" s="68">
        <v>44231</v>
      </c>
      <c r="G16" s="67">
        <f>IF(F16="","",MONTH(Tabela5[[#This Row],[DATA]]))</f>
        <v>2</v>
      </c>
      <c r="H16" s="73" t="str">
        <f>TEXT(Tabela5[[#This Row],[DATA]],"Geral")</f>
        <v>44231</v>
      </c>
    </row>
    <row r="17" spans="1:8" ht="18" customHeight="1" x14ac:dyDescent="0.3">
      <c r="A17" s="71"/>
      <c r="B17" s="45" t="s">
        <v>233</v>
      </c>
      <c r="C17" s="45" t="s">
        <v>13</v>
      </c>
      <c r="D17" s="45" t="s">
        <v>8</v>
      </c>
      <c r="E17" s="46">
        <v>1400</v>
      </c>
      <c r="F17" s="68">
        <v>44230</v>
      </c>
      <c r="G17" s="67">
        <f>IF(F17="","",MONTH(Tabela5[[#This Row],[DATA]]))</f>
        <v>2</v>
      </c>
      <c r="H17" s="73" t="str">
        <f>TEXT(Tabela5[[#This Row],[DATA]],"Geral")</f>
        <v>44230</v>
      </c>
    </row>
    <row r="18" spans="1:8" ht="18" customHeight="1" x14ac:dyDescent="0.3">
      <c r="A18" s="71"/>
      <c r="B18" s="45" t="s">
        <v>237</v>
      </c>
      <c r="C18" s="45" t="s">
        <v>13</v>
      </c>
      <c r="D18" s="45" t="s">
        <v>2</v>
      </c>
      <c r="E18" s="46">
        <v>2700</v>
      </c>
      <c r="F18" s="68">
        <v>44229</v>
      </c>
      <c r="G18" s="67">
        <f>IF(F18="","",MONTH(Tabela5[[#This Row],[DATA]]))</f>
        <v>2</v>
      </c>
      <c r="H18" s="73" t="str">
        <f>TEXT(Tabela5[[#This Row],[DATA]],"Geral")</f>
        <v>44229</v>
      </c>
    </row>
    <row r="19" spans="1:8" ht="18" customHeight="1" x14ac:dyDescent="0.3">
      <c r="A19" s="71"/>
      <c r="B19" s="45" t="s">
        <v>236</v>
      </c>
      <c r="C19" s="45" t="s">
        <v>13</v>
      </c>
      <c r="D19" s="45" t="s">
        <v>8</v>
      </c>
      <c r="E19" s="46">
        <v>1400</v>
      </c>
      <c r="F19" s="68">
        <v>44228</v>
      </c>
      <c r="G19" s="67">
        <f>IF(F19="","",MONTH(Tabela5[[#This Row],[DATA]]))</f>
        <v>2</v>
      </c>
      <c r="H19" s="73" t="str">
        <f>TEXT(Tabela5[[#This Row],[DATA]],"Geral")</f>
        <v>44228</v>
      </c>
    </row>
    <row r="20" spans="1:8" ht="18" customHeight="1" x14ac:dyDescent="0.3">
      <c r="A20" s="71"/>
      <c r="B20" s="45" t="s">
        <v>235</v>
      </c>
      <c r="C20" s="45" t="s">
        <v>13</v>
      </c>
      <c r="D20" s="45" t="s">
        <v>8</v>
      </c>
      <c r="E20" s="46">
        <v>250</v>
      </c>
      <c r="F20" s="68">
        <v>44223</v>
      </c>
      <c r="G20" s="67">
        <f>IF(F20="","",MONTH(Tabela5[[#This Row],[DATA]]))</f>
        <v>1</v>
      </c>
      <c r="H20" s="73" t="str">
        <f>TEXT(Tabela5[[#This Row],[DATA]],"Geral")</f>
        <v>44223</v>
      </c>
    </row>
    <row r="21" spans="1:8" ht="18" customHeight="1" x14ac:dyDescent="0.3">
      <c r="A21" s="71"/>
      <c r="B21" s="45" t="s">
        <v>234</v>
      </c>
      <c r="C21" s="45" t="s">
        <v>13</v>
      </c>
      <c r="D21" s="45" t="s">
        <v>8</v>
      </c>
      <c r="E21" s="46">
        <v>2500</v>
      </c>
      <c r="F21" s="68">
        <v>44223</v>
      </c>
      <c r="G21" s="67">
        <f>IF(F21="","",MONTH(Tabela5[[#This Row],[DATA]]))</f>
        <v>1</v>
      </c>
      <c r="H21" s="73" t="str">
        <f>TEXT(Tabela5[[#This Row],[DATA]],"Geral")</f>
        <v>44223</v>
      </c>
    </row>
    <row r="22" spans="1:8" ht="18" customHeight="1" x14ac:dyDescent="0.3">
      <c r="A22" s="71"/>
      <c r="B22" s="45" t="s">
        <v>150</v>
      </c>
      <c r="C22" s="45"/>
      <c r="D22" s="45" t="s">
        <v>2</v>
      </c>
      <c r="E22" s="46">
        <v>1300</v>
      </c>
      <c r="F22" s="68">
        <v>44219</v>
      </c>
      <c r="G22" s="67">
        <f>IF(F22="","",MONTH(Tabela5[[#This Row],[DATA]]))</f>
        <v>1</v>
      </c>
      <c r="H22" s="73" t="str">
        <f>TEXT(Tabela5[[#This Row],[DATA]],"Geral")</f>
        <v>44219</v>
      </c>
    </row>
    <row r="23" spans="1:8" ht="18" customHeight="1" x14ac:dyDescent="0.3">
      <c r="A23" s="71"/>
      <c r="B23" s="45" t="s">
        <v>150</v>
      </c>
      <c r="C23" s="45"/>
      <c r="D23" s="45" t="s">
        <v>2</v>
      </c>
      <c r="E23" s="46">
        <v>1300</v>
      </c>
      <c r="F23" s="68">
        <v>44219</v>
      </c>
      <c r="G23" s="67">
        <f>IF(F23="","",MONTH(Tabela5[[#This Row],[DATA]]))</f>
        <v>1</v>
      </c>
      <c r="H23" s="73" t="str">
        <f>TEXT(Tabela5[[#This Row],[DATA]],"Geral")</f>
        <v>44219</v>
      </c>
    </row>
    <row r="24" spans="1:8" ht="18" customHeight="1" x14ac:dyDescent="0.3">
      <c r="A24" s="71"/>
      <c r="B24" s="45" t="s">
        <v>150</v>
      </c>
      <c r="C24" s="45"/>
      <c r="D24" s="45" t="s">
        <v>2</v>
      </c>
      <c r="E24" s="46">
        <v>1300</v>
      </c>
      <c r="F24" s="68">
        <v>44219</v>
      </c>
      <c r="G24" s="67">
        <f>IF(F24="","",MONTH(Tabela5[[#This Row],[DATA]]))</f>
        <v>1</v>
      </c>
      <c r="H24" s="73" t="str">
        <f>TEXT(Tabela5[[#This Row],[DATA]],"Geral")</f>
        <v>44219</v>
      </c>
    </row>
    <row r="25" spans="1:8" ht="18" customHeight="1" x14ac:dyDescent="0.3">
      <c r="A25" s="71"/>
      <c r="B25" s="45" t="s">
        <v>237</v>
      </c>
      <c r="C25" s="45" t="s">
        <v>13</v>
      </c>
      <c r="D25" s="45" t="s">
        <v>8</v>
      </c>
      <c r="E25" s="46">
        <v>2700</v>
      </c>
      <c r="F25" s="68">
        <v>44217</v>
      </c>
      <c r="G25" s="67">
        <f>IF(F25="","",MONTH(Tabela5[[#This Row],[DATA]]))</f>
        <v>1</v>
      </c>
      <c r="H25" s="73" t="str">
        <f>TEXT(Tabela5[[#This Row],[DATA]],"Geral")</f>
        <v>44217</v>
      </c>
    </row>
    <row r="26" spans="1:8" ht="18" customHeight="1" x14ac:dyDescent="0.3">
      <c r="A26" s="71"/>
      <c r="B26" s="45" t="s">
        <v>233</v>
      </c>
      <c r="C26" s="45" t="s">
        <v>13</v>
      </c>
      <c r="D26" s="45" t="s">
        <v>8</v>
      </c>
      <c r="E26" s="46">
        <v>1600</v>
      </c>
      <c r="F26" s="68">
        <v>44222</v>
      </c>
      <c r="G26" s="67">
        <f>IF(F26="","",MONTH(Tabela5[[#This Row],[DATA]]))</f>
        <v>1</v>
      </c>
      <c r="H26" s="73" t="str">
        <f>TEXT(Tabela5[[#This Row],[DATA]],"Geral")</f>
        <v>44222</v>
      </c>
    </row>
    <row r="27" spans="1:8" ht="18" customHeight="1" x14ac:dyDescent="0.3">
      <c r="A27" s="71"/>
      <c r="B27" s="45" t="s">
        <v>232</v>
      </c>
      <c r="C27" s="45" t="s">
        <v>13</v>
      </c>
      <c r="D27" s="45" t="s">
        <v>8</v>
      </c>
      <c r="E27" s="46">
        <v>300</v>
      </c>
      <c r="F27" s="68">
        <v>44222</v>
      </c>
      <c r="G27" s="67">
        <f>IF(F27="","",MONTH(Tabela5[[#This Row],[DATA]]))</f>
        <v>1</v>
      </c>
      <c r="H27" s="73" t="str">
        <f>TEXT(Tabela5[[#This Row],[DATA]],"Geral")</f>
        <v>44222</v>
      </c>
    </row>
    <row r="28" spans="1:8" ht="18" customHeight="1" x14ac:dyDescent="0.3">
      <c r="A28" s="71"/>
      <c r="B28" s="45" t="s">
        <v>231</v>
      </c>
      <c r="C28" s="45" t="s">
        <v>13</v>
      </c>
      <c r="D28" s="45" t="s">
        <v>8</v>
      </c>
      <c r="E28" s="46">
        <v>2150</v>
      </c>
      <c r="F28" s="68">
        <v>44221</v>
      </c>
      <c r="G28" s="67">
        <f>IF(F28="","",MONTH(Tabela5[[#This Row],[DATA]]))</f>
        <v>1</v>
      </c>
      <c r="H28" s="73" t="str">
        <f>TEXT(Tabela5[[#This Row],[DATA]],"Geral")</f>
        <v>44221</v>
      </c>
    </row>
    <row r="29" spans="1:8" ht="18" customHeight="1" x14ac:dyDescent="0.3">
      <c r="A29" s="71"/>
      <c r="B29" s="45" t="s">
        <v>230</v>
      </c>
      <c r="C29" s="45" t="s">
        <v>10</v>
      </c>
      <c r="D29" s="45" t="s">
        <v>8</v>
      </c>
      <c r="E29" s="46">
        <v>100</v>
      </c>
      <c r="F29" s="68">
        <v>44219</v>
      </c>
      <c r="G29" s="67">
        <f>IF(F29="","",MONTH(Tabela5[[#This Row],[DATA]]))</f>
        <v>1</v>
      </c>
      <c r="H29" s="73" t="str">
        <f>TEXT(Tabela5[[#This Row],[DATA]],"Geral")</f>
        <v>44219</v>
      </c>
    </row>
    <row r="30" spans="1:8" ht="18" customHeight="1" x14ac:dyDescent="0.3">
      <c r="A30" s="71"/>
      <c r="B30" s="45" t="s">
        <v>229</v>
      </c>
      <c r="C30" s="45" t="s">
        <v>13</v>
      </c>
      <c r="D30" s="45" t="s">
        <v>8</v>
      </c>
      <c r="E30" s="46">
        <v>1900</v>
      </c>
      <c r="F30" s="68">
        <v>44219</v>
      </c>
      <c r="G30" s="67">
        <f>IF(F30="","",MONTH(Tabela5[[#This Row],[DATA]]))</f>
        <v>1</v>
      </c>
      <c r="H30" s="73" t="str">
        <f>TEXT(Tabela5[[#This Row],[DATA]],"Geral")</f>
        <v>44219</v>
      </c>
    </row>
    <row r="31" spans="1:8" ht="18" customHeight="1" x14ac:dyDescent="0.3">
      <c r="A31" s="71"/>
      <c r="B31" s="45" t="s">
        <v>228</v>
      </c>
      <c r="C31" s="45" t="s">
        <v>13</v>
      </c>
      <c r="D31" s="45" t="s">
        <v>8</v>
      </c>
      <c r="E31" s="46">
        <v>2000</v>
      </c>
      <c r="F31" s="68">
        <v>44216</v>
      </c>
      <c r="G31" s="67">
        <f>IF(F31="","",MONTH(Tabela5[[#This Row],[DATA]]))</f>
        <v>1</v>
      </c>
      <c r="H31" s="73" t="str">
        <f>TEXT(Tabela5[[#This Row],[DATA]],"Geral")</f>
        <v>44216</v>
      </c>
    </row>
    <row r="32" spans="1:8" ht="18" customHeight="1" x14ac:dyDescent="0.3">
      <c r="A32" s="71"/>
      <c r="B32" s="45" t="s">
        <v>203</v>
      </c>
      <c r="C32" s="45" t="s">
        <v>13</v>
      </c>
      <c r="D32" s="45" t="s">
        <v>8</v>
      </c>
      <c r="E32" s="46">
        <v>1900</v>
      </c>
      <c r="F32" s="68">
        <v>44214</v>
      </c>
      <c r="G32" s="67">
        <f>IF(F32="","",MONTH(Tabela5[[#This Row],[DATA]]))</f>
        <v>1</v>
      </c>
      <c r="H32" s="73" t="str">
        <f>TEXT(Tabela5[[#This Row],[DATA]],"Geral")</f>
        <v>44214</v>
      </c>
    </row>
    <row r="33" spans="1:8" ht="18" customHeight="1" x14ac:dyDescent="0.3">
      <c r="A33" s="71"/>
      <c r="B33" s="45" t="s">
        <v>227</v>
      </c>
      <c r="C33" s="45" t="s">
        <v>10</v>
      </c>
      <c r="D33" s="45" t="s">
        <v>8</v>
      </c>
      <c r="E33" s="46">
        <v>300</v>
      </c>
      <c r="F33" s="68">
        <v>44214</v>
      </c>
      <c r="G33" s="67">
        <f>IF(F33="","",MONTH(Tabela5[[#This Row],[DATA]]))</f>
        <v>1</v>
      </c>
      <c r="H33" s="73" t="str">
        <f>TEXT(Tabela5[[#This Row],[DATA]],"Geral")</f>
        <v>44214</v>
      </c>
    </row>
    <row r="34" spans="1:8" ht="18" customHeight="1" x14ac:dyDescent="0.3">
      <c r="A34" s="71"/>
      <c r="B34" s="45" t="s">
        <v>226</v>
      </c>
      <c r="C34" s="45" t="s">
        <v>10</v>
      </c>
      <c r="D34" s="45" t="s">
        <v>8</v>
      </c>
      <c r="E34" s="46">
        <v>50</v>
      </c>
      <c r="F34" s="68">
        <v>44214</v>
      </c>
      <c r="G34" s="67">
        <f>IF(F34="","",MONTH(Tabela5[[#This Row],[DATA]]))</f>
        <v>1</v>
      </c>
      <c r="H34" s="73" t="str">
        <f>TEXT(Tabela5[[#This Row],[DATA]],"Geral")</f>
        <v>44214</v>
      </c>
    </row>
    <row r="35" spans="1:8" ht="18" customHeight="1" x14ac:dyDescent="0.3">
      <c r="A35" s="71"/>
      <c r="B35" s="45" t="s">
        <v>225</v>
      </c>
      <c r="C35" s="45" t="s">
        <v>10</v>
      </c>
      <c r="D35" s="45" t="s">
        <v>8</v>
      </c>
      <c r="E35" s="46">
        <v>200</v>
      </c>
      <c r="F35" s="68">
        <v>44214</v>
      </c>
      <c r="G35" s="67">
        <f>IF(F35="","",MONTH(Tabela5[[#This Row],[DATA]]))</f>
        <v>1</v>
      </c>
      <c r="H35" s="73" t="str">
        <f>TEXT(Tabela5[[#This Row],[DATA]],"Geral")</f>
        <v>44214</v>
      </c>
    </row>
    <row r="36" spans="1:8" ht="18" customHeight="1" x14ac:dyDescent="0.3">
      <c r="A36" s="71"/>
      <c r="B36" s="45" t="s">
        <v>225</v>
      </c>
      <c r="C36" s="45" t="s">
        <v>10</v>
      </c>
      <c r="D36" s="45" t="s">
        <v>8</v>
      </c>
      <c r="E36" s="46">
        <v>200</v>
      </c>
      <c r="F36" s="68">
        <v>44214</v>
      </c>
      <c r="G36" s="67">
        <f>IF(F36="","",MONTH(Tabela5[[#This Row],[DATA]]))</f>
        <v>1</v>
      </c>
      <c r="H36" s="73" t="str">
        <f>TEXT(Tabela5[[#This Row],[DATA]],"Geral")</f>
        <v>44214</v>
      </c>
    </row>
    <row r="37" spans="1:8" ht="18" customHeight="1" x14ac:dyDescent="0.3">
      <c r="A37" s="71"/>
      <c r="B37" s="45" t="s">
        <v>225</v>
      </c>
      <c r="C37" s="45" t="s">
        <v>10</v>
      </c>
      <c r="D37" s="45" t="s">
        <v>8</v>
      </c>
      <c r="E37" s="46">
        <v>200</v>
      </c>
      <c r="F37" s="68">
        <v>44214</v>
      </c>
      <c r="G37" s="67">
        <f>IF(F37="","",MONTH(Tabela5[[#This Row],[DATA]]))</f>
        <v>1</v>
      </c>
      <c r="H37" s="73" t="str">
        <f>TEXT(Tabela5[[#This Row],[DATA]],"Geral")</f>
        <v>44214</v>
      </c>
    </row>
    <row r="38" spans="1:8" ht="18" customHeight="1" x14ac:dyDescent="0.3">
      <c r="A38" s="71"/>
      <c r="B38" s="45" t="s">
        <v>224</v>
      </c>
      <c r="C38" s="45" t="s">
        <v>13</v>
      </c>
      <c r="D38" s="45" t="s">
        <v>8</v>
      </c>
      <c r="E38" s="46">
        <v>2900</v>
      </c>
      <c r="F38" s="68">
        <v>44210</v>
      </c>
      <c r="G38" s="67">
        <f>IF(F38="","",MONTH(Tabela5[[#This Row],[DATA]]))</f>
        <v>1</v>
      </c>
      <c r="H38" s="73" t="str">
        <f>TEXT(Tabela5[[#This Row],[DATA]],"Geral")</f>
        <v>44210</v>
      </c>
    </row>
    <row r="39" spans="1:8" ht="18" customHeight="1" x14ac:dyDescent="0.3">
      <c r="A39" s="71"/>
      <c r="B39" s="45" t="s">
        <v>223</v>
      </c>
      <c r="C39" s="45" t="s">
        <v>13</v>
      </c>
      <c r="D39" s="45" t="s">
        <v>8</v>
      </c>
      <c r="E39" s="46">
        <v>1900</v>
      </c>
      <c r="F39" s="68">
        <v>44209</v>
      </c>
      <c r="G39" s="67">
        <f>IF(F39="","",MONTH(Tabela5[[#This Row],[DATA]]))</f>
        <v>1</v>
      </c>
      <c r="H39" s="73" t="str">
        <f>TEXT(Tabela5[[#This Row],[DATA]],"Geral")</f>
        <v>44209</v>
      </c>
    </row>
    <row r="40" spans="1:8" ht="18" customHeight="1" x14ac:dyDescent="0.3">
      <c r="A40" s="71"/>
      <c r="B40" s="45" t="s">
        <v>222</v>
      </c>
      <c r="C40" s="45" t="s">
        <v>13</v>
      </c>
      <c r="D40" s="45" t="s">
        <v>8</v>
      </c>
      <c r="E40" s="46">
        <v>200</v>
      </c>
      <c r="F40" s="68">
        <v>44204</v>
      </c>
      <c r="G40" s="67">
        <f>IF(F40="","",MONTH(Tabela5[[#This Row],[DATA]]))</f>
        <v>1</v>
      </c>
      <c r="H40" s="73" t="str">
        <f>TEXT(Tabela5[[#This Row],[DATA]],"Geral")</f>
        <v>44204</v>
      </c>
    </row>
    <row r="41" spans="1:8" ht="18" customHeight="1" x14ac:dyDescent="0.3">
      <c r="A41" s="71"/>
      <c r="B41" s="45" t="s">
        <v>221</v>
      </c>
      <c r="C41" s="45" t="s">
        <v>13</v>
      </c>
      <c r="D41" s="45" t="s">
        <v>8</v>
      </c>
      <c r="E41" s="46">
        <v>1200</v>
      </c>
      <c r="F41" s="68">
        <v>44204</v>
      </c>
      <c r="G41" s="67">
        <f>IF(F41="","",MONTH(Tabela5[[#This Row],[DATA]]))</f>
        <v>1</v>
      </c>
      <c r="H41" s="73" t="str">
        <f>TEXT(Tabela5[[#This Row],[DATA]],"Geral")</f>
        <v>44204</v>
      </c>
    </row>
    <row r="42" spans="1:8" ht="18" customHeight="1" x14ac:dyDescent="0.3">
      <c r="A42" s="71"/>
      <c r="B42" s="45" t="s">
        <v>221</v>
      </c>
      <c r="C42" s="45" t="s">
        <v>13</v>
      </c>
      <c r="D42" s="45" t="s">
        <v>2</v>
      </c>
      <c r="E42" s="46">
        <v>500</v>
      </c>
      <c r="F42" s="68">
        <v>44204</v>
      </c>
      <c r="G42" s="67">
        <f>IF(F42="","",MONTH(Tabela5[[#This Row],[DATA]]))</f>
        <v>1</v>
      </c>
      <c r="H42" s="73" t="str">
        <f>TEXT(Tabela5[[#This Row],[DATA]],"Geral")</f>
        <v>44204</v>
      </c>
    </row>
    <row r="43" spans="1:8" ht="18" customHeight="1" x14ac:dyDescent="0.3">
      <c r="A43" s="71"/>
      <c r="B43" s="45" t="s">
        <v>220</v>
      </c>
      <c r="C43" s="45" t="s">
        <v>13</v>
      </c>
      <c r="D43" s="45" t="s">
        <v>8</v>
      </c>
      <c r="E43" s="46">
        <v>1400</v>
      </c>
      <c r="F43" s="68">
        <v>44203</v>
      </c>
      <c r="G43" s="67">
        <f>IF(F43="","",MONTH(Tabela5[[#This Row],[DATA]]))</f>
        <v>1</v>
      </c>
      <c r="H43" s="73" t="str">
        <f>TEXT(Tabela5[[#This Row],[DATA]],"Geral")</f>
        <v>44203</v>
      </c>
    </row>
    <row r="44" spans="1:8" ht="18" customHeight="1" x14ac:dyDescent="0.3">
      <c r="A44" s="71"/>
      <c r="B44" s="45" t="s">
        <v>143</v>
      </c>
      <c r="C44" s="45" t="s">
        <v>13</v>
      </c>
      <c r="D44" s="45" t="s">
        <v>2</v>
      </c>
      <c r="E44" s="46">
        <v>2000</v>
      </c>
      <c r="F44" s="68">
        <v>44202</v>
      </c>
      <c r="G44" s="67">
        <f>IF(F44="","",MONTH(Tabela5[[#This Row],[DATA]]))</f>
        <v>1</v>
      </c>
      <c r="H44" s="73" t="str">
        <f>TEXT(Tabela5[[#This Row],[DATA]],"Geral")</f>
        <v>44202</v>
      </c>
    </row>
    <row r="45" spans="1:8" ht="18" customHeight="1" x14ac:dyDescent="0.3">
      <c r="A45" s="71"/>
      <c r="B45" s="45" t="s">
        <v>219</v>
      </c>
      <c r="C45" s="45" t="s">
        <v>13</v>
      </c>
      <c r="D45" s="45" t="s">
        <v>8</v>
      </c>
      <c r="E45" s="46">
        <v>400</v>
      </c>
      <c r="F45" s="68">
        <v>44202</v>
      </c>
      <c r="G45" s="67">
        <f>IF(F45="","",MONTH(Tabela5[[#This Row],[DATA]]))</f>
        <v>1</v>
      </c>
      <c r="H45" s="73" t="str">
        <f>TEXT(Tabela5[[#This Row],[DATA]],"Geral")</f>
        <v>44202</v>
      </c>
    </row>
    <row r="46" spans="1:8" ht="18" customHeight="1" x14ac:dyDescent="0.3">
      <c r="A46" s="71"/>
      <c r="B46" s="45" t="s">
        <v>218</v>
      </c>
      <c r="C46" s="45" t="s">
        <v>13</v>
      </c>
      <c r="D46" s="45" t="s">
        <v>8</v>
      </c>
      <c r="E46" s="46">
        <v>2100</v>
      </c>
      <c r="F46" s="68">
        <v>44201</v>
      </c>
      <c r="G46" s="67">
        <f>IF(F46="","",MONTH(Tabela5[[#This Row],[DATA]]))</f>
        <v>1</v>
      </c>
      <c r="H46" s="73" t="str">
        <f>TEXT(Tabela5[[#This Row],[DATA]],"Geral")</f>
        <v>44201</v>
      </c>
    </row>
    <row r="47" spans="1:8" ht="18" customHeight="1" x14ac:dyDescent="0.3">
      <c r="A47" s="71"/>
      <c r="B47" s="45" t="s">
        <v>217</v>
      </c>
      <c r="C47" s="45" t="s">
        <v>13</v>
      </c>
      <c r="D47" s="45" t="s">
        <v>8</v>
      </c>
      <c r="E47" s="46">
        <v>600</v>
      </c>
      <c r="F47" s="68">
        <v>44201</v>
      </c>
      <c r="G47" s="67">
        <f>IF(F47="","",MONTH(Tabela5[[#This Row],[DATA]]))</f>
        <v>1</v>
      </c>
      <c r="H47" s="73" t="str">
        <f>TEXT(Tabela5[[#This Row],[DATA]],"Geral")</f>
        <v>44201</v>
      </c>
    </row>
    <row r="48" spans="1:8" ht="18" customHeight="1" x14ac:dyDescent="0.3">
      <c r="A48" s="71"/>
      <c r="B48" s="45" t="s">
        <v>216</v>
      </c>
      <c r="C48" s="45" t="s">
        <v>13</v>
      </c>
      <c r="D48" s="45" t="s">
        <v>8</v>
      </c>
      <c r="E48" s="46">
        <v>600</v>
      </c>
      <c r="F48" s="68">
        <v>44201</v>
      </c>
      <c r="G48" s="67">
        <f>IF(F48="","",MONTH(Tabela5[[#This Row],[DATA]]))</f>
        <v>1</v>
      </c>
      <c r="H48" s="73" t="str">
        <f>TEXT(Tabela5[[#This Row],[DATA]],"Geral")</f>
        <v>44201</v>
      </c>
    </row>
    <row r="49" spans="1:8" ht="18" customHeight="1" x14ac:dyDescent="0.3">
      <c r="A49" s="71"/>
      <c r="B49" s="45" t="s">
        <v>215</v>
      </c>
      <c r="C49" s="45" t="s">
        <v>13</v>
      </c>
      <c r="D49" s="45" t="s">
        <v>2</v>
      </c>
      <c r="E49" s="46">
        <v>1700</v>
      </c>
      <c r="F49" s="68">
        <v>44200</v>
      </c>
      <c r="G49" s="67">
        <f>IF(F49="","",MONTH(Tabela5[[#This Row],[DATA]]))</f>
        <v>1</v>
      </c>
      <c r="H49" s="73" t="str">
        <f>TEXT(Tabela5[[#This Row],[DATA]],"Geral")</f>
        <v>44200</v>
      </c>
    </row>
    <row r="50" spans="1:8" ht="18" customHeight="1" x14ac:dyDescent="0.3">
      <c r="A50" s="71"/>
      <c r="B50" s="45" t="s">
        <v>214</v>
      </c>
      <c r="C50" s="45" t="s">
        <v>13</v>
      </c>
      <c r="D50" s="45" t="s">
        <v>8</v>
      </c>
      <c r="E50" s="46">
        <v>2500</v>
      </c>
      <c r="F50" s="68">
        <v>44195</v>
      </c>
      <c r="G50" s="67">
        <f>IF(F50="","",MONTH(Tabela5[[#This Row],[DATA]]))</f>
        <v>12</v>
      </c>
      <c r="H50" s="73" t="str">
        <f>TEXT(Tabela5[[#This Row],[DATA]],"Geral")</f>
        <v>44195</v>
      </c>
    </row>
    <row r="51" spans="1:8" ht="18" customHeight="1" x14ac:dyDescent="0.3">
      <c r="A51" s="71"/>
      <c r="B51" s="45" t="s">
        <v>193</v>
      </c>
      <c r="C51" s="45" t="s">
        <v>13</v>
      </c>
      <c r="D51" s="45" t="s">
        <v>2</v>
      </c>
      <c r="E51" s="46">
        <v>1500</v>
      </c>
      <c r="F51" s="68">
        <v>44194</v>
      </c>
      <c r="G51" s="67">
        <f>IF(F51="","",MONTH(Tabela5[[#This Row],[DATA]]))</f>
        <v>12</v>
      </c>
      <c r="H51" s="73" t="str">
        <f>TEXT(Tabela5[[#This Row],[DATA]],"Geral")</f>
        <v>44194</v>
      </c>
    </row>
    <row r="52" spans="1:8" ht="18" customHeight="1" x14ac:dyDescent="0.3">
      <c r="A52" s="71"/>
      <c r="B52" s="45" t="s">
        <v>210</v>
      </c>
      <c r="C52" s="45" t="s">
        <v>13</v>
      </c>
      <c r="D52" s="45" t="s">
        <v>2</v>
      </c>
      <c r="E52" s="46">
        <v>60</v>
      </c>
      <c r="F52" s="68">
        <v>44194</v>
      </c>
      <c r="G52" s="67">
        <f>IF(F52="","",MONTH(Tabela5[[#This Row],[DATA]]))</f>
        <v>12</v>
      </c>
      <c r="H52" s="73" t="str">
        <f>TEXT(Tabela5[[#This Row],[DATA]],"Geral")</f>
        <v>44194</v>
      </c>
    </row>
    <row r="53" spans="1:8" ht="18" customHeight="1" x14ac:dyDescent="0.3">
      <c r="A53" s="71"/>
      <c r="B53" s="45" t="s">
        <v>210</v>
      </c>
      <c r="C53" s="45" t="s">
        <v>13</v>
      </c>
      <c r="D53" s="45" t="s">
        <v>8</v>
      </c>
      <c r="E53" s="46">
        <v>529.25</v>
      </c>
      <c r="F53" s="68">
        <v>44194</v>
      </c>
      <c r="G53" s="67">
        <f>IF(F53="","",MONTH(Tabela5[[#This Row],[DATA]]))</f>
        <v>12</v>
      </c>
      <c r="H53" s="73" t="str">
        <f>TEXT(Tabela5[[#This Row],[DATA]],"Geral")</f>
        <v>44194</v>
      </c>
    </row>
    <row r="54" spans="1:8" ht="18" customHeight="1" x14ac:dyDescent="0.3">
      <c r="A54" s="71"/>
      <c r="B54" s="45" t="s">
        <v>209</v>
      </c>
      <c r="C54" s="45" t="s">
        <v>13</v>
      </c>
      <c r="D54" s="45" t="s">
        <v>8</v>
      </c>
      <c r="E54" s="46">
        <v>1519.16</v>
      </c>
      <c r="F54" s="68">
        <v>44193</v>
      </c>
      <c r="G54" s="67">
        <f>IF(F54="","",MONTH(Tabela5[[#This Row],[DATA]]))</f>
        <v>12</v>
      </c>
      <c r="H54" s="73" t="str">
        <f>TEXT(Tabela5[[#This Row],[DATA]],"Geral")</f>
        <v>44193</v>
      </c>
    </row>
    <row r="55" spans="1:8" ht="18" customHeight="1" x14ac:dyDescent="0.3">
      <c r="A55" s="71"/>
      <c r="B55" s="45" t="s">
        <v>205</v>
      </c>
      <c r="C55" s="45" t="s">
        <v>13</v>
      </c>
      <c r="D55" s="45" t="s">
        <v>8</v>
      </c>
      <c r="E55" s="46">
        <v>900</v>
      </c>
      <c r="F55" s="68">
        <v>44189</v>
      </c>
      <c r="G55" s="67">
        <f>IF(F55="","",MONTH(Tabela5[[#This Row],[DATA]]))</f>
        <v>12</v>
      </c>
      <c r="H55" s="73" t="str">
        <f>TEXT(Tabela5[[#This Row],[DATA]],"Geral")</f>
        <v>44189</v>
      </c>
    </row>
    <row r="56" spans="1:8" ht="18" customHeight="1" x14ac:dyDescent="0.3">
      <c r="A56" s="71"/>
      <c r="B56" s="45" t="s">
        <v>208</v>
      </c>
      <c r="C56" s="45" t="s">
        <v>13</v>
      </c>
      <c r="D56" s="45" t="s">
        <v>8</v>
      </c>
      <c r="E56" s="46">
        <v>330</v>
      </c>
      <c r="F56" s="68">
        <v>44098</v>
      </c>
      <c r="G56" s="67">
        <f>IF(F56="","",MONTH(Tabela5[[#This Row],[DATA]]))</f>
        <v>9</v>
      </c>
      <c r="H56" s="73" t="str">
        <f>TEXT(Tabela5[[#This Row],[DATA]],"Geral")</f>
        <v>44098</v>
      </c>
    </row>
    <row r="57" spans="1:8" ht="18" customHeight="1" x14ac:dyDescent="0.3">
      <c r="A57" s="71"/>
      <c r="B57" s="45" t="s">
        <v>207</v>
      </c>
      <c r="C57" s="45" t="s">
        <v>10</v>
      </c>
      <c r="D57" s="45" t="s">
        <v>8</v>
      </c>
      <c r="E57" s="46">
        <v>200</v>
      </c>
      <c r="F57" s="68">
        <v>44189</v>
      </c>
      <c r="G57" s="67">
        <f>IF(F57="","",MONTH(Tabela5[[#This Row],[DATA]]))</f>
        <v>12</v>
      </c>
      <c r="H57" s="73" t="str">
        <f>TEXT(Tabela5[[#This Row],[DATA]],"Geral")</f>
        <v>44189</v>
      </c>
    </row>
    <row r="58" spans="1:8" ht="18" customHeight="1" x14ac:dyDescent="0.3">
      <c r="A58" s="71"/>
      <c r="B58" s="45" t="s">
        <v>205</v>
      </c>
      <c r="C58" s="45" t="s">
        <v>13</v>
      </c>
      <c r="D58" s="45" t="s">
        <v>8</v>
      </c>
      <c r="E58" s="46">
        <v>2300</v>
      </c>
      <c r="F58" s="68">
        <v>44188</v>
      </c>
      <c r="G58" s="67">
        <f>IF(F58="","",MONTH(Tabela5[[#This Row],[DATA]]))</f>
        <v>12</v>
      </c>
      <c r="H58" s="73" t="str">
        <f>TEXT(Tabela5[[#This Row],[DATA]],"Geral")</f>
        <v>44188</v>
      </c>
    </row>
    <row r="59" spans="1:8" ht="18" customHeight="1" x14ac:dyDescent="0.3">
      <c r="A59" s="71"/>
      <c r="B59" s="45" t="s">
        <v>204</v>
      </c>
      <c r="C59" s="45" t="s">
        <v>13</v>
      </c>
      <c r="D59" s="45" t="s">
        <v>8</v>
      </c>
      <c r="E59" s="46">
        <v>1500</v>
      </c>
      <c r="F59" s="68">
        <v>44187</v>
      </c>
      <c r="G59" s="67">
        <f>IF(F59="","",MONTH(Tabela5[[#This Row],[DATA]]))</f>
        <v>12</v>
      </c>
      <c r="H59" s="73" t="str">
        <f>TEXT(Tabela5[[#This Row],[DATA]],"Geral")</f>
        <v>44187</v>
      </c>
    </row>
    <row r="60" spans="1:8" ht="18.600000000000001" customHeight="1" x14ac:dyDescent="0.3">
      <c r="A60" s="71"/>
      <c r="B60" s="45" t="s">
        <v>202</v>
      </c>
      <c r="C60" s="45" t="s">
        <v>10</v>
      </c>
      <c r="D60" s="45" t="s">
        <v>8</v>
      </c>
      <c r="E60" s="46">
        <v>200</v>
      </c>
      <c r="F60" s="68">
        <v>44186</v>
      </c>
      <c r="G60" s="67">
        <f>IF(F60="","",MONTH(Tabela5[[#This Row],[DATA]]))</f>
        <v>12</v>
      </c>
      <c r="H60" s="73" t="str">
        <f>TEXT(Tabela5[[#This Row],[DATA]],"Geral")</f>
        <v>44186</v>
      </c>
    </row>
    <row r="61" spans="1:8" ht="18" customHeight="1" x14ac:dyDescent="0.3">
      <c r="A61" s="71"/>
      <c r="B61" s="45" t="s">
        <v>203</v>
      </c>
      <c r="C61" s="45" t="s">
        <v>10</v>
      </c>
      <c r="D61" s="45" t="s">
        <v>8</v>
      </c>
      <c r="E61" s="46">
        <v>100</v>
      </c>
      <c r="F61" s="68">
        <v>44183</v>
      </c>
      <c r="G61" s="67">
        <f>IF(F61="","",MONTH(Tabela5[[#This Row],[DATA]]))</f>
        <v>12</v>
      </c>
      <c r="H61" s="73" t="str">
        <f>TEXT(Tabela5[[#This Row],[DATA]],"Geral")</f>
        <v>44183</v>
      </c>
    </row>
    <row r="62" spans="1:8" ht="18" customHeight="1" x14ac:dyDescent="0.3">
      <c r="A62" s="71"/>
      <c r="B62" s="45" t="s">
        <v>203</v>
      </c>
      <c r="C62" s="45" t="s">
        <v>13</v>
      </c>
      <c r="D62" s="45" t="s">
        <v>8</v>
      </c>
      <c r="E62" s="46">
        <v>1400</v>
      </c>
      <c r="F62" s="68">
        <v>44183</v>
      </c>
      <c r="G62" s="67">
        <f>IF(F62="","",MONTH(Tabela5[[#This Row],[DATA]]))</f>
        <v>12</v>
      </c>
      <c r="H62" s="73" t="str">
        <f>TEXT(Tabela5[[#This Row],[DATA]],"Geral")</f>
        <v>44183</v>
      </c>
    </row>
    <row r="63" spans="1:8" ht="18" customHeight="1" x14ac:dyDescent="0.3">
      <c r="A63" s="71"/>
      <c r="B63" s="45" t="s">
        <v>201</v>
      </c>
      <c r="C63" s="45" t="s">
        <v>10</v>
      </c>
      <c r="D63" s="45" t="s">
        <v>8</v>
      </c>
      <c r="E63" s="46">
        <v>400</v>
      </c>
      <c r="F63" s="68">
        <v>44182</v>
      </c>
      <c r="G63" s="67">
        <f>IF(F63="","",MONTH(Tabela5[[#This Row],[DATA]]))</f>
        <v>12</v>
      </c>
      <c r="H63" s="73" t="str">
        <f>TEXT(Tabela5[[#This Row],[DATA]],"Geral")</f>
        <v>44182</v>
      </c>
    </row>
    <row r="64" spans="1:8" ht="18" customHeight="1" x14ac:dyDescent="0.3">
      <c r="A64" s="71"/>
      <c r="B64" s="45" t="s">
        <v>200</v>
      </c>
      <c r="C64" s="45" t="s">
        <v>13</v>
      </c>
      <c r="D64" s="45" t="s">
        <v>8</v>
      </c>
      <c r="E64" s="46">
        <v>200</v>
      </c>
      <c r="F64" s="68">
        <v>44182</v>
      </c>
      <c r="G64" s="67">
        <f>IF(F64="","",MONTH(Tabela5[[#This Row],[DATA]]))</f>
        <v>12</v>
      </c>
      <c r="H64" s="73" t="str">
        <f>TEXT(Tabela5[[#This Row],[DATA]],"Geral")</f>
        <v>44182</v>
      </c>
    </row>
    <row r="65" spans="1:8" ht="18" customHeight="1" x14ac:dyDescent="0.3">
      <c r="A65" s="71"/>
      <c r="B65" s="45" t="s">
        <v>200</v>
      </c>
      <c r="C65" s="45" t="s">
        <v>13</v>
      </c>
      <c r="D65" s="45" t="s">
        <v>2</v>
      </c>
      <c r="E65" s="46">
        <v>700</v>
      </c>
      <c r="F65" s="68">
        <v>44182</v>
      </c>
      <c r="G65" s="67">
        <f>IF(F65="","",MONTH(Tabela5[[#This Row],[DATA]]))</f>
        <v>12</v>
      </c>
      <c r="H65" s="73" t="str">
        <f>TEXT(Tabela5[[#This Row],[DATA]],"Geral")</f>
        <v>44182</v>
      </c>
    </row>
    <row r="66" spans="1:8" ht="18" customHeight="1" x14ac:dyDescent="0.3">
      <c r="A66" s="71"/>
      <c r="B66" s="45" t="s">
        <v>197</v>
      </c>
      <c r="C66" s="45" t="s">
        <v>10</v>
      </c>
      <c r="D66" s="45" t="s">
        <v>8</v>
      </c>
      <c r="E66" s="46">
        <v>200</v>
      </c>
      <c r="F66" s="68">
        <v>44182</v>
      </c>
      <c r="G66" s="67">
        <f>IF(F66="","",MONTH(Tabela5[[#This Row],[DATA]]))</f>
        <v>12</v>
      </c>
      <c r="H66" s="73" t="str">
        <f>TEXT(Tabela5[[#This Row],[DATA]],"Geral")</f>
        <v>44182</v>
      </c>
    </row>
    <row r="67" spans="1:8" ht="18" customHeight="1" x14ac:dyDescent="0.3">
      <c r="A67" s="71"/>
      <c r="B67" s="45" t="s">
        <v>196</v>
      </c>
      <c r="C67" s="45" t="s">
        <v>13</v>
      </c>
      <c r="D67" s="45" t="s">
        <v>8</v>
      </c>
      <c r="E67" s="46">
        <v>1400</v>
      </c>
      <c r="F67" s="68">
        <v>44181</v>
      </c>
      <c r="G67" s="67">
        <f>IF(F67="","",MONTH(Tabela5[[#This Row],[DATA]]))</f>
        <v>12</v>
      </c>
      <c r="H67" s="73" t="str">
        <f>TEXT(Tabela5[[#This Row],[DATA]],"Geral")</f>
        <v>44181</v>
      </c>
    </row>
    <row r="68" spans="1:8" ht="18" customHeight="1" x14ac:dyDescent="0.3">
      <c r="A68" s="71"/>
      <c r="B68" s="121" t="s">
        <v>195</v>
      </c>
      <c r="C68" s="45" t="s">
        <v>10</v>
      </c>
      <c r="D68" s="45" t="s">
        <v>8</v>
      </c>
      <c r="E68" s="46">
        <v>400</v>
      </c>
      <c r="F68" s="68">
        <v>44181</v>
      </c>
      <c r="G68" s="67">
        <f>IF(F68="","",MONTH(Tabela5[[#This Row],[DATA]]))</f>
        <v>12</v>
      </c>
      <c r="H68" s="73" t="str">
        <f>TEXT(Tabela5[[#This Row],[DATA]],"Geral")</f>
        <v>44181</v>
      </c>
    </row>
    <row r="69" spans="1:8" ht="18" customHeight="1" x14ac:dyDescent="0.3">
      <c r="A69" s="71"/>
      <c r="B69" s="45" t="s">
        <v>194</v>
      </c>
      <c r="C69" s="45" t="s">
        <v>10</v>
      </c>
      <c r="D69" s="45" t="s">
        <v>8</v>
      </c>
      <c r="E69" s="46">
        <v>1000</v>
      </c>
      <c r="F69" s="68">
        <v>44181</v>
      </c>
      <c r="G69" s="67">
        <f>IF(F69="","",MONTH(Tabela5[[#This Row],[DATA]]))</f>
        <v>12</v>
      </c>
      <c r="H69" s="73" t="str">
        <f>TEXT(Tabela5[[#This Row],[DATA]],"Geral")</f>
        <v>44181</v>
      </c>
    </row>
    <row r="70" spans="1:8" ht="18" customHeight="1" x14ac:dyDescent="0.3">
      <c r="A70" s="71"/>
      <c r="B70" s="45" t="s">
        <v>193</v>
      </c>
      <c r="C70" s="45" t="s">
        <v>13</v>
      </c>
      <c r="D70" s="45" t="s">
        <v>2</v>
      </c>
      <c r="E70" s="46">
        <v>1600</v>
      </c>
      <c r="F70" s="68">
        <v>44179</v>
      </c>
      <c r="G70" s="67">
        <f>IF(F70="","",MONTH(Tabela5[[#This Row],[DATA]]))</f>
        <v>12</v>
      </c>
      <c r="H70" s="73" t="str">
        <f>TEXT(Tabela5[[#This Row],[DATA]],"Geral")</f>
        <v>44179</v>
      </c>
    </row>
    <row r="71" spans="1:8" ht="18" customHeight="1" x14ac:dyDescent="0.3">
      <c r="A71" s="71"/>
      <c r="B71" s="45"/>
      <c r="C71" s="45" t="s">
        <v>150</v>
      </c>
      <c r="D71" s="45"/>
      <c r="E71" s="46">
        <v>1500</v>
      </c>
      <c r="F71" s="68">
        <v>44178</v>
      </c>
      <c r="G71" s="67">
        <f>IF(F71="","",MONTH(Tabela5[[#This Row],[DATA]]))</f>
        <v>12</v>
      </c>
      <c r="H71" s="73" t="str">
        <f>TEXT(Tabela5[[#This Row],[DATA]],"Geral")</f>
        <v>44178</v>
      </c>
    </row>
    <row r="72" spans="1:8" ht="18" customHeight="1" x14ac:dyDescent="0.3">
      <c r="A72" s="71"/>
      <c r="B72" s="45"/>
      <c r="C72" s="45" t="s">
        <v>150</v>
      </c>
      <c r="D72" s="45"/>
      <c r="E72" s="46">
        <v>1500</v>
      </c>
      <c r="F72" s="68">
        <v>44178</v>
      </c>
      <c r="G72" s="67">
        <f>IF(F72="","",MONTH(Tabela5[[#This Row],[DATA]]))</f>
        <v>12</v>
      </c>
      <c r="H72" s="73" t="str">
        <f>TEXT(Tabela5[[#This Row],[DATA]],"Geral")</f>
        <v>44178</v>
      </c>
    </row>
    <row r="73" spans="1:8" ht="18" customHeight="1" x14ac:dyDescent="0.3">
      <c r="A73" s="71"/>
      <c r="B73" s="45"/>
      <c r="C73" s="45" t="s">
        <v>150</v>
      </c>
      <c r="D73" s="45"/>
      <c r="E73" s="46">
        <v>1500</v>
      </c>
      <c r="F73" s="68">
        <v>44178</v>
      </c>
      <c r="G73" s="67">
        <f>IF(F73="","",MONTH(Tabela5[[#This Row],[DATA]]))</f>
        <v>12</v>
      </c>
      <c r="H73" s="73" t="str">
        <f>TEXT(Tabela5[[#This Row],[DATA]],"Geral")</f>
        <v>44178</v>
      </c>
    </row>
    <row r="74" spans="1:8" ht="18" customHeight="1" x14ac:dyDescent="0.3">
      <c r="A74" s="71"/>
      <c r="B74" s="45"/>
      <c r="C74" s="45" t="s">
        <v>150</v>
      </c>
      <c r="D74" s="45"/>
      <c r="E74" s="46">
        <v>1500</v>
      </c>
      <c r="F74" s="68">
        <v>44178</v>
      </c>
      <c r="G74" s="67">
        <f>IF(F74="","",MONTH(Tabela5[[#This Row],[DATA]]))</f>
        <v>12</v>
      </c>
      <c r="H74" s="73" t="str">
        <f>TEXT(Tabela5[[#This Row],[DATA]],"Geral")</f>
        <v>44178</v>
      </c>
    </row>
    <row r="75" spans="1:8" ht="18" customHeight="1" x14ac:dyDescent="0.3">
      <c r="A75" s="71"/>
      <c r="B75" s="45" t="s">
        <v>192</v>
      </c>
      <c r="C75" s="45" t="s">
        <v>10</v>
      </c>
      <c r="D75" s="45" t="s">
        <v>2</v>
      </c>
      <c r="E75" s="46">
        <v>200</v>
      </c>
      <c r="F75" s="68">
        <v>44178</v>
      </c>
      <c r="G75" s="67">
        <f>IF(F75="","",MONTH(Tabela5[[#This Row],[DATA]]))</f>
        <v>12</v>
      </c>
      <c r="H75" s="73" t="str">
        <f>TEXT(Tabela5[[#This Row],[DATA]],"Geral")</f>
        <v>44178</v>
      </c>
    </row>
    <row r="76" spans="1:8" ht="18" customHeight="1" x14ac:dyDescent="0.3">
      <c r="A76" s="71"/>
      <c r="B76" s="45" t="s">
        <v>191</v>
      </c>
      <c r="C76" s="45" t="s">
        <v>10</v>
      </c>
      <c r="D76" s="45" t="s">
        <v>8</v>
      </c>
      <c r="E76" s="46">
        <v>200</v>
      </c>
      <c r="F76" s="68">
        <v>44178</v>
      </c>
      <c r="G76" s="67">
        <f>IF(F76="","",MONTH(Tabela5[[#This Row],[DATA]]))</f>
        <v>12</v>
      </c>
      <c r="H76" s="73" t="str">
        <f>TEXT(Tabela5[[#This Row],[DATA]],"Geral")</f>
        <v>44178</v>
      </c>
    </row>
    <row r="77" spans="1:8" ht="18" customHeight="1" x14ac:dyDescent="0.3">
      <c r="A77" s="71"/>
      <c r="B77" s="45" t="s">
        <v>190</v>
      </c>
      <c r="C77" s="45" t="s">
        <v>13</v>
      </c>
      <c r="D77" s="45" t="s">
        <v>8</v>
      </c>
      <c r="E77" s="46">
        <v>850</v>
      </c>
      <c r="F77" s="68">
        <v>44177</v>
      </c>
      <c r="G77" s="67">
        <f>IF(F77="","",MONTH(Tabela5[[#This Row],[DATA]]))</f>
        <v>12</v>
      </c>
      <c r="H77" s="73" t="str">
        <f>TEXT(Tabela5[[#This Row],[DATA]],"Geral")</f>
        <v>44177</v>
      </c>
    </row>
    <row r="78" spans="1:8" ht="18" customHeight="1" x14ac:dyDescent="0.3">
      <c r="A78" s="71"/>
      <c r="B78" s="45" t="s">
        <v>189</v>
      </c>
      <c r="C78" s="45" t="s">
        <v>13</v>
      </c>
      <c r="D78" s="45" t="s">
        <v>8</v>
      </c>
      <c r="E78" s="46">
        <v>1600</v>
      </c>
      <c r="F78" s="68">
        <v>44176</v>
      </c>
      <c r="G78" s="67">
        <f>IF(F78="","",MONTH(Tabela5[[#This Row],[DATA]]))</f>
        <v>12</v>
      </c>
      <c r="H78" s="73" t="str">
        <f>TEXT(Tabela5[[#This Row],[DATA]],"Geral")</f>
        <v>44176</v>
      </c>
    </row>
    <row r="79" spans="1:8" ht="18" customHeight="1" x14ac:dyDescent="0.3">
      <c r="A79" s="71"/>
      <c r="B79" s="45" t="s">
        <v>188</v>
      </c>
      <c r="C79" s="45" t="s">
        <v>10</v>
      </c>
      <c r="D79" s="45" t="s">
        <v>8</v>
      </c>
      <c r="E79" s="46">
        <v>300</v>
      </c>
      <c r="F79" s="68">
        <v>44176</v>
      </c>
      <c r="G79" s="67">
        <f>IF(F79="","",MONTH(Tabela5[[#This Row],[DATA]]))</f>
        <v>12</v>
      </c>
      <c r="H79" s="73" t="str">
        <f>TEXT(Tabela5[[#This Row],[DATA]],"Geral")</f>
        <v>44176</v>
      </c>
    </row>
    <row r="80" spans="1:8" ht="18" customHeight="1" x14ac:dyDescent="0.3">
      <c r="A80" s="71"/>
      <c r="B80" s="45" t="s">
        <v>187</v>
      </c>
      <c r="C80" s="45" t="s">
        <v>13</v>
      </c>
      <c r="D80" s="45" t="s">
        <v>8</v>
      </c>
      <c r="E80" s="46">
        <v>2400</v>
      </c>
      <c r="F80" s="68">
        <v>44175</v>
      </c>
      <c r="G80" s="67">
        <f>IF(F80="","",MONTH(Tabela5[[#This Row],[DATA]]))</f>
        <v>12</v>
      </c>
      <c r="H80" s="73" t="str">
        <f>TEXT(Tabela5[[#This Row],[DATA]],"Geral")</f>
        <v>44175</v>
      </c>
    </row>
    <row r="81" spans="1:8" ht="18" customHeight="1" x14ac:dyDescent="0.3">
      <c r="A81" s="71"/>
      <c r="B81" s="45" t="s">
        <v>186</v>
      </c>
      <c r="C81" s="45" t="s">
        <v>10</v>
      </c>
      <c r="D81" s="45" t="s">
        <v>8</v>
      </c>
      <c r="E81" s="46">
        <v>200</v>
      </c>
      <c r="F81" s="68">
        <v>44172</v>
      </c>
      <c r="G81" s="67">
        <f>IF(F81="","",MONTH(Tabela5[[#This Row],[DATA]]))</f>
        <v>12</v>
      </c>
      <c r="H81" s="73" t="str">
        <f>TEXT(Tabela5[[#This Row],[DATA]],"Geral")</f>
        <v>44172</v>
      </c>
    </row>
    <row r="82" spans="1:8" ht="18" customHeight="1" x14ac:dyDescent="0.3">
      <c r="A82" s="71"/>
      <c r="B82" s="45" t="s">
        <v>185</v>
      </c>
      <c r="C82" s="45" t="s">
        <v>13</v>
      </c>
      <c r="D82" s="45" t="s">
        <v>8</v>
      </c>
      <c r="E82" s="46">
        <v>2800</v>
      </c>
      <c r="F82" s="68">
        <v>44165</v>
      </c>
      <c r="G82" s="67">
        <f>IF(F82="","",MONTH(Tabela5[[#This Row],[DATA]]))</f>
        <v>11</v>
      </c>
      <c r="H82" s="73" t="str">
        <f>TEXT(Tabela5[[#This Row],[DATA]],"Geral")</f>
        <v>44165</v>
      </c>
    </row>
    <row r="83" spans="1:8" ht="18" customHeight="1" x14ac:dyDescent="0.3">
      <c r="A83" s="71"/>
      <c r="B83" s="47" t="s">
        <v>49</v>
      </c>
      <c r="C83" s="45" t="s">
        <v>13</v>
      </c>
      <c r="D83" s="45" t="s">
        <v>2</v>
      </c>
      <c r="E83" s="46">
        <v>1800</v>
      </c>
      <c r="F83" s="68">
        <v>44160</v>
      </c>
      <c r="G83" s="67">
        <f>IF(F83="","",MONTH(Tabela5[[#This Row],[DATA]]))</f>
        <v>11</v>
      </c>
      <c r="H83" s="73" t="str">
        <f>TEXT(Tabela5[[#This Row],[DATA]],"Geral")</f>
        <v>44160</v>
      </c>
    </row>
    <row r="84" spans="1:8" ht="18" customHeight="1" x14ac:dyDescent="0.3">
      <c r="A84" s="71"/>
      <c r="B84" s="45" t="s">
        <v>184</v>
      </c>
      <c r="C84" s="45" t="s">
        <v>10</v>
      </c>
      <c r="D84" s="45" t="s">
        <v>8</v>
      </c>
      <c r="E84" s="46">
        <v>50</v>
      </c>
      <c r="F84" s="68">
        <v>44160</v>
      </c>
      <c r="G84" s="67">
        <f>IF(F84="","",MONTH(Tabela5[[#This Row],[DATA]]))</f>
        <v>11</v>
      </c>
      <c r="H84" s="73" t="str">
        <f>TEXT(Tabela5[[#This Row],[DATA]],"Geral")</f>
        <v>44160</v>
      </c>
    </row>
    <row r="85" spans="1:8" ht="18" customHeight="1" x14ac:dyDescent="0.3">
      <c r="A85" s="71"/>
      <c r="B85" s="45" t="s">
        <v>183</v>
      </c>
      <c r="C85" s="45" t="s">
        <v>13</v>
      </c>
      <c r="D85" s="45" t="s">
        <v>8</v>
      </c>
      <c r="E85" s="46">
        <v>2000</v>
      </c>
      <c r="F85" s="68">
        <v>44159</v>
      </c>
      <c r="G85" s="67">
        <f>IF(F85="","",MONTH(Tabela5[[#This Row],[DATA]]))</f>
        <v>11</v>
      </c>
      <c r="H85" s="73" t="str">
        <f>TEXT(Tabela5[[#This Row],[DATA]],"Geral")</f>
        <v>44159</v>
      </c>
    </row>
    <row r="86" spans="1:8" ht="18" customHeight="1" x14ac:dyDescent="0.3">
      <c r="A86" s="71"/>
      <c r="B86" s="45" t="s">
        <v>187</v>
      </c>
      <c r="C86" s="45" t="s">
        <v>10</v>
      </c>
      <c r="D86" s="45" t="s">
        <v>8</v>
      </c>
      <c r="E86" s="46">
        <v>200</v>
      </c>
      <c r="F86" s="68">
        <v>44159</v>
      </c>
      <c r="G86" s="67">
        <f>IF(F86="","",MONTH(Tabela5[[#This Row],[DATA]]))</f>
        <v>11</v>
      </c>
      <c r="H86" s="73" t="str">
        <f>TEXT(Tabela5[[#This Row],[DATA]],"Geral")</f>
        <v>44159</v>
      </c>
    </row>
    <row r="87" spans="1:8" ht="18" customHeight="1" x14ac:dyDescent="0.3">
      <c r="A87" s="71"/>
      <c r="B87" s="47" t="s">
        <v>125</v>
      </c>
      <c r="C87" s="45" t="s">
        <v>13</v>
      </c>
      <c r="D87" s="45" t="s">
        <v>8</v>
      </c>
      <c r="E87" s="46">
        <v>1988</v>
      </c>
      <c r="F87" s="68">
        <v>44158</v>
      </c>
      <c r="G87" s="67">
        <f>IF(F87="","",MONTH(Tabela5[[#This Row],[DATA]]))</f>
        <v>11</v>
      </c>
      <c r="H87" s="73" t="str">
        <f>TEXT(Tabela5[[#This Row],[DATA]],"Geral")</f>
        <v>44158</v>
      </c>
    </row>
    <row r="88" spans="1:8" ht="18" customHeight="1" x14ac:dyDescent="0.3">
      <c r="A88" s="71"/>
      <c r="B88" s="45"/>
      <c r="C88" s="45" t="s">
        <v>150</v>
      </c>
      <c r="D88" s="45"/>
      <c r="E88" s="46">
        <v>1300</v>
      </c>
      <c r="F88" s="68">
        <v>44157</v>
      </c>
      <c r="G88" s="67">
        <f>IF(F88="","",MONTH(Tabela5[[#This Row],[DATA]]))</f>
        <v>11</v>
      </c>
      <c r="H88" s="73" t="str">
        <f>TEXT(Tabela5[[#This Row],[DATA]],"Geral")</f>
        <v>44157</v>
      </c>
    </row>
    <row r="89" spans="1:8" ht="18" customHeight="1" x14ac:dyDescent="0.3">
      <c r="A89" s="71"/>
      <c r="B89" s="45"/>
      <c r="C89" s="45" t="s">
        <v>150</v>
      </c>
      <c r="D89" s="45"/>
      <c r="E89" s="46">
        <v>1300</v>
      </c>
      <c r="F89" s="68">
        <v>44157</v>
      </c>
      <c r="G89" s="67">
        <f>IF(F89="","",MONTH(Tabela5[[#This Row],[DATA]]))</f>
        <v>11</v>
      </c>
      <c r="H89" s="73" t="str">
        <f>TEXT(Tabela5[[#This Row],[DATA]],"Geral")</f>
        <v>44157</v>
      </c>
    </row>
    <row r="90" spans="1:8" ht="18" customHeight="1" x14ac:dyDescent="0.3">
      <c r="A90" s="71"/>
      <c r="B90" s="45"/>
      <c r="C90" s="45" t="s">
        <v>150</v>
      </c>
      <c r="D90" s="45"/>
      <c r="E90" s="46">
        <v>1300</v>
      </c>
      <c r="F90" s="68">
        <v>44157</v>
      </c>
      <c r="G90" s="67">
        <f>IF(F90="","",MONTH(Tabela5[[#This Row],[DATA]]))</f>
        <v>11</v>
      </c>
      <c r="H90" s="73" t="str">
        <f>TEXT(Tabela5[[#This Row],[DATA]],"Geral")</f>
        <v>44157</v>
      </c>
    </row>
    <row r="91" spans="1:8" ht="18" customHeight="1" x14ac:dyDescent="0.3">
      <c r="A91" s="71"/>
      <c r="B91" s="45"/>
      <c r="C91" s="45" t="s">
        <v>150</v>
      </c>
      <c r="D91" s="45"/>
      <c r="E91" s="46">
        <v>1300</v>
      </c>
      <c r="F91" s="68">
        <v>44157</v>
      </c>
      <c r="G91" s="67">
        <f>IF(F91="","",MONTH(Tabela5[[#This Row],[DATA]]))</f>
        <v>11</v>
      </c>
      <c r="H91" s="73" t="str">
        <f>TEXT(Tabela5[[#This Row],[DATA]],"Geral")</f>
        <v>44157</v>
      </c>
    </row>
    <row r="92" spans="1:8" ht="18" customHeight="1" x14ac:dyDescent="0.3">
      <c r="A92" s="71"/>
      <c r="B92" s="45" t="s">
        <v>182</v>
      </c>
      <c r="C92" s="45" t="s">
        <v>13</v>
      </c>
      <c r="D92" s="45" t="s">
        <v>8</v>
      </c>
      <c r="E92" s="46">
        <v>2000</v>
      </c>
      <c r="F92" s="68">
        <v>44155</v>
      </c>
      <c r="G92" s="67">
        <f>IF(F92="","",MONTH(Tabela5[[#This Row],[DATA]]))</f>
        <v>11</v>
      </c>
      <c r="H92" s="73" t="str">
        <f>TEXT(Tabela5[[#This Row],[DATA]],"Geral")</f>
        <v>44155</v>
      </c>
    </row>
    <row r="93" spans="1:8" ht="18" customHeight="1" x14ac:dyDescent="0.3">
      <c r="A93" s="71"/>
      <c r="B93" s="45" t="s">
        <v>181</v>
      </c>
      <c r="C93" s="45" t="s">
        <v>10</v>
      </c>
      <c r="D93" s="45" t="s">
        <v>8</v>
      </c>
      <c r="E93" s="46">
        <v>200</v>
      </c>
      <c r="F93" s="68">
        <v>44155</v>
      </c>
      <c r="G93" s="67">
        <f>IF(F93="","",MONTH(Tabela5[[#This Row],[DATA]]))</f>
        <v>11</v>
      </c>
      <c r="H93" s="73" t="str">
        <f>TEXT(Tabela5[[#This Row],[DATA]],"Geral")</f>
        <v>44155</v>
      </c>
    </row>
    <row r="94" spans="1:8" ht="18" customHeight="1" x14ac:dyDescent="0.3">
      <c r="A94" s="71"/>
      <c r="B94" s="45" t="s">
        <v>180</v>
      </c>
      <c r="C94" s="45" t="s">
        <v>13</v>
      </c>
      <c r="D94" s="45" t="s">
        <v>2</v>
      </c>
      <c r="E94" s="46">
        <v>2000</v>
      </c>
      <c r="F94" s="68">
        <v>44154</v>
      </c>
      <c r="G94" s="67">
        <f>IF(F94="","",MONTH(Tabela5[[#This Row],[DATA]]))</f>
        <v>11</v>
      </c>
      <c r="H94" s="73" t="str">
        <f>TEXT(Tabela5[[#This Row],[DATA]],"Geral")</f>
        <v>44154</v>
      </c>
    </row>
    <row r="95" spans="1:8" ht="18" customHeight="1" x14ac:dyDescent="0.3">
      <c r="A95" s="71"/>
      <c r="B95" s="45" t="s">
        <v>176</v>
      </c>
      <c r="C95" s="45" t="s">
        <v>13</v>
      </c>
      <c r="D95" s="45" t="s">
        <v>8</v>
      </c>
      <c r="E95" s="46">
        <v>1250</v>
      </c>
      <c r="F95" s="68">
        <v>44153</v>
      </c>
      <c r="G95" s="67">
        <f>IF(F95="","",MONTH(Tabela5[[#This Row],[DATA]]))</f>
        <v>11</v>
      </c>
      <c r="H95" s="73" t="str">
        <f>TEXT(Tabela5[[#This Row],[DATA]],"Geral")</f>
        <v>44153</v>
      </c>
    </row>
    <row r="96" spans="1:8" ht="18" customHeight="1" x14ac:dyDescent="0.3">
      <c r="A96" s="71"/>
      <c r="B96" s="47" t="s">
        <v>63</v>
      </c>
      <c r="C96" s="45" t="s">
        <v>13</v>
      </c>
      <c r="D96" s="45" t="s">
        <v>8</v>
      </c>
      <c r="E96" s="46">
        <v>2000</v>
      </c>
      <c r="F96" s="68">
        <v>44153</v>
      </c>
      <c r="G96" s="67">
        <f>IF(F96="","",MONTH(Tabela5[[#This Row],[DATA]]))</f>
        <v>11</v>
      </c>
      <c r="H96" s="73" t="str">
        <f>TEXT(Tabela5[[#This Row],[DATA]],"Geral")</f>
        <v>44153</v>
      </c>
    </row>
    <row r="97" spans="1:8" ht="18" customHeight="1" x14ac:dyDescent="0.3">
      <c r="A97" s="71"/>
      <c r="B97" s="45" t="s">
        <v>175</v>
      </c>
      <c r="C97" s="45" t="s">
        <v>10</v>
      </c>
      <c r="D97" s="45" t="s">
        <v>8</v>
      </c>
      <c r="E97" s="46">
        <v>100</v>
      </c>
      <c r="F97" s="68">
        <v>44152</v>
      </c>
      <c r="G97" s="67">
        <f>IF(F97="","",MONTH(Tabela5[[#This Row],[DATA]]))</f>
        <v>11</v>
      </c>
      <c r="H97" s="73" t="str">
        <f>TEXT(Tabela5[[#This Row],[DATA]],"Geral")</f>
        <v>44152</v>
      </c>
    </row>
    <row r="98" spans="1:8" ht="18" customHeight="1" x14ac:dyDescent="0.3">
      <c r="A98" s="71"/>
      <c r="B98" s="45" t="s">
        <v>175</v>
      </c>
      <c r="C98" s="45" t="s">
        <v>13</v>
      </c>
      <c r="D98" s="45" t="s">
        <v>8</v>
      </c>
      <c r="E98" s="46">
        <v>300</v>
      </c>
      <c r="F98" s="68">
        <v>44152</v>
      </c>
      <c r="G98" s="67">
        <f>IF(F98="","",MONTH(Tabela5[[#This Row],[DATA]]))</f>
        <v>11</v>
      </c>
      <c r="H98" s="73" t="str">
        <f>TEXT(Tabela5[[#This Row],[DATA]],"Geral")</f>
        <v>44152</v>
      </c>
    </row>
    <row r="99" spans="1:8" ht="18" customHeight="1" x14ac:dyDescent="0.3">
      <c r="A99" s="71"/>
      <c r="B99" s="45" t="s">
        <v>175</v>
      </c>
      <c r="C99" s="45" t="s">
        <v>13</v>
      </c>
      <c r="D99" s="45" t="s">
        <v>2</v>
      </c>
      <c r="E99" s="46">
        <v>1100</v>
      </c>
      <c r="F99" s="68">
        <v>44152</v>
      </c>
      <c r="G99" s="67">
        <f>IF(F99="","",MONTH(Tabela5[[#This Row],[DATA]]))</f>
        <v>11</v>
      </c>
      <c r="H99" s="73" t="str">
        <f>TEXT(Tabela5[[#This Row],[DATA]],"Geral")</f>
        <v>44152</v>
      </c>
    </row>
    <row r="100" spans="1:8" ht="18" customHeight="1" x14ac:dyDescent="0.3">
      <c r="A100" s="71"/>
      <c r="B100" s="45" t="s">
        <v>174</v>
      </c>
      <c r="C100" s="45" t="s">
        <v>13</v>
      </c>
      <c r="D100" s="45" t="s">
        <v>8</v>
      </c>
      <c r="E100" s="46">
        <v>2000</v>
      </c>
      <c r="F100" s="68">
        <v>44151</v>
      </c>
      <c r="G100" s="67">
        <f>IF(F100="","",MONTH(Tabela5[[#This Row],[DATA]]))</f>
        <v>11</v>
      </c>
      <c r="H100" s="73" t="str">
        <f>TEXT(Tabela5[[#This Row],[DATA]],"Geral")</f>
        <v>44151</v>
      </c>
    </row>
    <row r="101" spans="1:8" ht="18" customHeight="1" x14ac:dyDescent="0.3">
      <c r="A101" s="71"/>
      <c r="B101" s="45" t="s">
        <v>173</v>
      </c>
      <c r="C101" s="45" t="s">
        <v>13</v>
      </c>
      <c r="D101" s="45" t="s">
        <v>8</v>
      </c>
      <c r="E101" s="46">
        <v>1100</v>
      </c>
      <c r="F101" s="68">
        <v>44151</v>
      </c>
      <c r="G101" s="67">
        <f>IF(F101="","",MONTH(Tabela5[[#This Row],[DATA]]))</f>
        <v>11</v>
      </c>
      <c r="H101" s="73" t="str">
        <f>TEXT(Tabela5[[#This Row],[DATA]],"Geral")</f>
        <v>44151</v>
      </c>
    </row>
    <row r="102" spans="1:8" ht="18" customHeight="1" x14ac:dyDescent="0.3">
      <c r="A102" s="71"/>
      <c r="B102" s="45" t="s">
        <v>172</v>
      </c>
      <c r="C102" s="45" t="s">
        <v>13</v>
      </c>
      <c r="D102" s="45" t="s">
        <v>8</v>
      </c>
      <c r="E102" s="46">
        <v>1500</v>
      </c>
      <c r="F102" s="68">
        <v>44148</v>
      </c>
      <c r="G102" s="67">
        <f>IF(F102="","",MONTH(Tabela5[[#This Row],[DATA]]))</f>
        <v>11</v>
      </c>
      <c r="H102" s="73" t="str">
        <f>TEXT(Tabela5[[#This Row],[DATA]],"Geral")</f>
        <v>44148</v>
      </c>
    </row>
    <row r="103" spans="1:8" ht="18" customHeight="1" x14ac:dyDescent="0.3">
      <c r="A103" s="71"/>
      <c r="B103" s="45" t="s">
        <v>210</v>
      </c>
      <c r="C103" s="45" t="s">
        <v>10</v>
      </c>
      <c r="D103" s="45" t="s">
        <v>8</v>
      </c>
      <c r="E103" s="46">
        <v>50</v>
      </c>
      <c r="F103" s="68">
        <v>44148</v>
      </c>
      <c r="G103" s="67">
        <f>IF(F103="","",MONTH(Tabela5[[#This Row],[DATA]]))</f>
        <v>11</v>
      </c>
      <c r="H103" s="73" t="str">
        <f>TEXT(Tabela5[[#This Row],[DATA]],"Geral")</f>
        <v>44148</v>
      </c>
    </row>
    <row r="104" spans="1:8" ht="18" customHeight="1" x14ac:dyDescent="0.3">
      <c r="A104" s="71"/>
      <c r="B104" s="45" t="s">
        <v>166</v>
      </c>
      <c r="C104" s="45" t="s">
        <v>10</v>
      </c>
      <c r="D104" s="45" t="s">
        <v>8</v>
      </c>
      <c r="E104" s="46">
        <v>50</v>
      </c>
      <c r="F104" s="68">
        <v>44148</v>
      </c>
      <c r="G104" s="67">
        <f>IF(F104="","",MONTH(Tabela5[[#This Row],[DATA]]))</f>
        <v>11</v>
      </c>
      <c r="H104" s="73" t="str">
        <f>TEXT(Tabela5[[#This Row],[DATA]],"Geral")</f>
        <v>44148</v>
      </c>
    </row>
    <row r="105" spans="1:8" ht="18" customHeight="1" x14ac:dyDescent="0.3">
      <c r="A105" s="71"/>
      <c r="B105" s="45" t="s">
        <v>164</v>
      </c>
      <c r="C105" s="45" t="s">
        <v>10</v>
      </c>
      <c r="D105" s="45" t="s">
        <v>2</v>
      </c>
      <c r="E105" s="46">
        <v>100</v>
      </c>
      <c r="F105" s="68">
        <v>44147</v>
      </c>
      <c r="G105" s="67">
        <f>IF(F105="","",MONTH(Tabela5[[#This Row],[DATA]]))</f>
        <v>11</v>
      </c>
      <c r="H105" s="73" t="str">
        <f>TEXT(Tabela5[[#This Row],[DATA]],"Geral")</f>
        <v>44147</v>
      </c>
    </row>
    <row r="106" spans="1:8" ht="18" customHeight="1" x14ac:dyDescent="0.3">
      <c r="A106" s="71"/>
      <c r="B106" s="45" t="s">
        <v>164</v>
      </c>
      <c r="C106" s="45" t="s">
        <v>13</v>
      </c>
      <c r="D106" s="45" t="s">
        <v>2</v>
      </c>
      <c r="E106" s="46">
        <v>800</v>
      </c>
      <c r="F106" s="68">
        <v>44147</v>
      </c>
      <c r="G106" s="67">
        <f>IF(F106="","",MONTH(Tabela5[[#This Row],[DATA]]))</f>
        <v>11</v>
      </c>
      <c r="H106" s="73" t="str">
        <f>TEXT(Tabela5[[#This Row],[DATA]],"Geral")</f>
        <v>44147</v>
      </c>
    </row>
    <row r="107" spans="1:8" ht="18" customHeight="1" x14ac:dyDescent="0.3">
      <c r="A107" s="71"/>
      <c r="B107" s="45" t="s">
        <v>165</v>
      </c>
      <c r="C107" s="45" t="s">
        <v>10</v>
      </c>
      <c r="D107" s="45" t="s">
        <v>8</v>
      </c>
      <c r="E107" s="46">
        <v>100</v>
      </c>
      <c r="F107" s="68">
        <v>44147</v>
      </c>
      <c r="G107" s="67">
        <f>IF(F107="","",MONTH(Tabela5[[#This Row],[DATA]]))</f>
        <v>11</v>
      </c>
      <c r="H107" s="73" t="str">
        <f>TEXT(Tabela5[[#This Row],[DATA]],"Geral")</f>
        <v>44147</v>
      </c>
    </row>
    <row r="108" spans="1:8" ht="18" customHeight="1" x14ac:dyDescent="0.3">
      <c r="A108" s="71"/>
      <c r="B108" s="45" t="s">
        <v>164</v>
      </c>
      <c r="C108" s="45" t="s">
        <v>13</v>
      </c>
      <c r="D108" s="45" t="s">
        <v>2</v>
      </c>
      <c r="E108" s="46">
        <v>1100</v>
      </c>
      <c r="F108" s="68">
        <v>44147</v>
      </c>
      <c r="G108" s="67">
        <f>IF(F108="","",MONTH(Tabela5[[#This Row],[DATA]]))</f>
        <v>11</v>
      </c>
      <c r="H108" s="73" t="str">
        <f>TEXT(Tabela5[[#This Row],[DATA]],"Geral")</f>
        <v>44147</v>
      </c>
    </row>
    <row r="109" spans="1:8" ht="18" customHeight="1" x14ac:dyDescent="0.3">
      <c r="A109" s="71"/>
      <c r="B109" s="45" t="s">
        <v>163</v>
      </c>
      <c r="C109" s="45" t="s">
        <v>10</v>
      </c>
      <c r="D109" s="45" t="s">
        <v>8</v>
      </c>
      <c r="E109" s="46">
        <v>400</v>
      </c>
      <c r="F109" s="68">
        <v>44147</v>
      </c>
      <c r="G109" s="67">
        <f>IF(F109="","",MONTH(Tabela5[[#This Row],[DATA]]))</f>
        <v>11</v>
      </c>
      <c r="H109" s="73" t="str">
        <f>TEXT(Tabela5[[#This Row],[DATA]],"Geral")</f>
        <v>44147</v>
      </c>
    </row>
    <row r="110" spans="1:8" ht="18" customHeight="1" x14ac:dyDescent="0.3">
      <c r="A110" s="71"/>
      <c r="B110" s="45" t="s">
        <v>162</v>
      </c>
      <c r="C110" s="45" t="s">
        <v>10</v>
      </c>
      <c r="D110" s="45" t="s">
        <v>8</v>
      </c>
      <c r="E110" s="46">
        <v>100</v>
      </c>
      <c r="F110" s="68">
        <v>44147</v>
      </c>
      <c r="G110" s="67">
        <f>IF(F110="","",MONTH(Tabela5[[#This Row],[DATA]]))</f>
        <v>11</v>
      </c>
      <c r="H110" s="73" t="str">
        <f>TEXT(Tabela5[[#This Row],[DATA]],"Geral")</f>
        <v>44147</v>
      </c>
    </row>
    <row r="111" spans="1:8" ht="18" customHeight="1" x14ac:dyDescent="0.3">
      <c r="A111" s="71"/>
      <c r="B111" s="45" t="s">
        <v>161</v>
      </c>
      <c r="C111" s="45" t="s">
        <v>13</v>
      </c>
      <c r="D111" s="45" t="s">
        <v>8</v>
      </c>
      <c r="E111" s="46">
        <v>1850</v>
      </c>
      <c r="F111" s="68">
        <v>44144</v>
      </c>
      <c r="G111" s="67">
        <f>IF(F111="","",MONTH(Tabela5[[#This Row],[DATA]]))</f>
        <v>11</v>
      </c>
      <c r="H111" s="73" t="str">
        <f>TEXT(Tabela5[[#This Row],[DATA]],"Geral")</f>
        <v>44144</v>
      </c>
    </row>
    <row r="112" spans="1:8" ht="18" customHeight="1" x14ac:dyDescent="0.3">
      <c r="A112" s="71"/>
      <c r="B112" s="45" t="s">
        <v>160</v>
      </c>
      <c r="C112" s="45" t="s">
        <v>150</v>
      </c>
      <c r="D112" s="45" t="s">
        <v>8</v>
      </c>
      <c r="E112" s="46">
        <v>1176.1199999999999</v>
      </c>
      <c r="F112" s="68">
        <v>44136</v>
      </c>
      <c r="G112" s="67">
        <f>IF(F112="","",MONTH(Tabela5[[#This Row],[DATA]]))</f>
        <v>11</v>
      </c>
      <c r="H112" s="73" t="str">
        <f>TEXT(Tabela5[[#This Row],[DATA]],"Geral")</f>
        <v>44136</v>
      </c>
    </row>
    <row r="113" spans="1:8" ht="18" customHeight="1" x14ac:dyDescent="0.3">
      <c r="A113" s="71"/>
      <c r="B113" s="45" t="s">
        <v>159</v>
      </c>
      <c r="C113" s="45" t="s">
        <v>150</v>
      </c>
      <c r="D113" s="45" t="s">
        <v>2</v>
      </c>
      <c r="E113" s="46">
        <v>1200</v>
      </c>
      <c r="F113" s="68">
        <v>44136</v>
      </c>
      <c r="G113" s="67">
        <f>IF(F113="","",MONTH(Tabela5[[#This Row],[DATA]]))</f>
        <v>11</v>
      </c>
      <c r="H113" s="73" t="str">
        <f>TEXT(Tabela5[[#This Row],[DATA]],"Geral")</f>
        <v>44136</v>
      </c>
    </row>
    <row r="114" spans="1:8" ht="18" customHeight="1" x14ac:dyDescent="0.3">
      <c r="A114" s="71"/>
      <c r="B114" s="45" t="s">
        <v>158</v>
      </c>
      <c r="C114" s="45" t="s">
        <v>13</v>
      </c>
      <c r="D114" s="45" t="s">
        <v>2</v>
      </c>
      <c r="E114" s="46">
        <v>700</v>
      </c>
      <c r="F114" s="68">
        <v>44141</v>
      </c>
      <c r="G114" s="67">
        <f>IF(F114="","",MONTH(Tabela5[[#This Row],[DATA]]))</f>
        <v>11</v>
      </c>
      <c r="H114" s="73" t="str">
        <f>TEXT(Tabela5[[#This Row],[DATA]],"Geral")</f>
        <v>44141</v>
      </c>
    </row>
    <row r="115" spans="1:8" ht="18" customHeight="1" x14ac:dyDescent="0.3">
      <c r="A115" s="71"/>
      <c r="B115" s="45" t="s">
        <v>157</v>
      </c>
      <c r="C115" s="45" t="s">
        <v>150</v>
      </c>
      <c r="D115" s="45" t="s">
        <v>2</v>
      </c>
      <c r="E115" s="46">
        <v>1200</v>
      </c>
      <c r="F115" s="68">
        <v>44136</v>
      </c>
      <c r="G115" s="67">
        <f>IF(F115="","",MONTH(Tabela5[[#This Row],[DATA]]))</f>
        <v>11</v>
      </c>
      <c r="H115" s="73" t="str">
        <f>TEXT(Tabela5[[#This Row],[DATA]],"Geral")</f>
        <v>44136</v>
      </c>
    </row>
    <row r="116" spans="1:8" ht="18" customHeight="1" x14ac:dyDescent="0.3">
      <c r="A116" s="71"/>
      <c r="B116" s="45" t="s">
        <v>156</v>
      </c>
      <c r="C116" s="45" t="s">
        <v>150</v>
      </c>
      <c r="D116" s="45" t="s">
        <v>2</v>
      </c>
      <c r="E116" s="46">
        <v>1200</v>
      </c>
      <c r="F116" s="68">
        <v>44136</v>
      </c>
      <c r="G116" s="67">
        <f>IF(F116="","",MONTH(Tabela5[[#This Row],[DATA]]))</f>
        <v>11</v>
      </c>
      <c r="H116" s="73" t="str">
        <f>TEXT(Tabela5[[#This Row],[DATA]],"Geral")</f>
        <v>44136</v>
      </c>
    </row>
    <row r="117" spans="1:8" ht="18" customHeight="1" x14ac:dyDescent="0.3">
      <c r="A117" s="71"/>
      <c r="B117" s="45" t="s">
        <v>155</v>
      </c>
      <c r="C117" s="45" t="s">
        <v>13</v>
      </c>
      <c r="D117" s="45" t="s">
        <v>2</v>
      </c>
      <c r="E117" s="46">
        <v>4145</v>
      </c>
      <c r="F117" s="68">
        <v>44141</v>
      </c>
      <c r="G117" s="67">
        <f>IF(F117="","",MONTH(Tabela5[[#This Row],[DATA]]))</f>
        <v>11</v>
      </c>
      <c r="H117" s="73" t="str">
        <f>TEXT(Tabela5[[#This Row],[DATA]],"Geral")</f>
        <v>44141</v>
      </c>
    </row>
    <row r="118" spans="1:8" ht="18" customHeight="1" x14ac:dyDescent="0.3">
      <c r="A118" s="71"/>
      <c r="B118" s="45" t="s">
        <v>154</v>
      </c>
      <c r="C118" s="45" t="s">
        <v>150</v>
      </c>
      <c r="D118" s="45" t="s">
        <v>2</v>
      </c>
      <c r="E118" s="46">
        <v>1200</v>
      </c>
      <c r="F118" s="68">
        <v>44135</v>
      </c>
      <c r="G118" s="67">
        <f>IF(F118="","",MONTH(Tabela5[[#This Row],[DATA]]))</f>
        <v>10</v>
      </c>
      <c r="H118" s="73" t="str">
        <f>TEXT(Tabela5[[#This Row],[DATA]],"Geral")</f>
        <v>44135</v>
      </c>
    </row>
    <row r="119" spans="1:8" ht="18" customHeight="1" x14ac:dyDescent="0.3">
      <c r="A119" s="71"/>
      <c r="B119" s="45" t="s">
        <v>153</v>
      </c>
      <c r="C119" s="45" t="s">
        <v>150</v>
      </c>
      <c r="D119" s="45" t="s">
        <v>2</v>
      </c>
      <c r="E119" s="46">
        <v>1200</v>
      </c>
      <c r="F119" s="68">
        <v>44135</v>
      </c>
      <c r="G119" s="67">
        <f>IF(F119="","",MONTH(Tabela5[[#This Row],[DATA]]))</f>
        <v>10</v>
      </c>
      <c r="H119" s="73" t="str">
        <f>TEXT(Tabela5[[#This Row],[DATA]],"Geral")</f>
        <v>44135</v>
      </c>
    </row>
    <row r="120" spans="1:8" ht="18" customHeight="1" x14ac:dyDescent="0.3">
      <c r="A120" s="71"/>
      <c r="B120" s="45" t="s">
        <v>152</v>
      </c>
      <c r="C120" s="45" t="s">
        <v>150</v>
      </c>
      <c r="D120" s="45" t="s">
        <v>2</v>
      </c>
      <c r="E120" s="46">
        <v>1200</v>
      </c>
      <c r="F120" s="68">
        <v>44135</v>
      </c>
      <c r="G120" s="67">
        <f>IF(F120="","",MONTH(Tabela5[[#This Row],[DATA]]))</f>
        <v>10</v>
      </c>
      <c r="H120" s="73" t="str">
        <f>TEXT(Tabela5[[#This Row],[DATA]],"Geral")</f>
        <v>44135</v>
      </c>
    </row>
    <row r="121" spans="1:8" ht="18" customHeight="1" x14ac:dyDescent="0.3">
      <c r="A121" s="71"/>
      <c r="B121" s="45" t="s">
        <v>151</v>
      </c>
      <c r="C121" s="45" t="s">
        <v>150</v>
      </c>
      <c r="D121" s="45" t="s">
        <v>2</v>
      </c>
      <c r="E121" s="46">
        <v>1300</v>
      </c>
      <c r="F121" s="68">
        <v>44135</v>
      </c>
      <c r="G121" s="67">
        <f>IF(F121="","",MONTH(Tabela5[[#This Row],[DATA]]))</f>
        <v>10</v>
      </c>
      <c r="H121" s="73" t="str">
        <f>TEXT(Tabela5[[#This Row],[DATA]],"Geral")</f>
        <v>44135</v>
      </c>
    </row>
    <row r="122" spans="1:8" ht="18" customHeight="1" x14ac:dyDescent="0.3">
      <c r="A122" s="71"/>
      <c r="B122" s="45" t="s">
        <v>148</v>
      </c>
      <c r="C122" s="45" t="s">
        <v>10</v>
      </c>
      <c r="D122" s="45" t="s">
        <v>8</v>
      </c>
      <c r="E122" s="46">
        <v>100</v>
      </c>
      <c r="F122" s="68">
        <v>44141</v>
      </c>
      <c r="G122" s="67">
        <f>IF(F122="","",MONTH(Tabela5[[#This Row],[DATA]]))</f>
        <v>11</v>
      </c>
      <c r="H122" s="73" t="str">
        <f>TEXT(Tabela5[[#This Row],[DATA]],"Geral")</f>
        <v>44141</v>
      </c>
    </row>
    <row r="123" spans="1:8" ht="18" customHeight="1" x14ac:dyDescent="0.3">
      <c r="A123" s="71"/>
      <c r="B123" s="45" t="s">
        <v>149</v>
      </c>
      <c r="C123" s="45" t="s">
        <v>13</v>
      </c>
      <c r="D123" s="45" t="s">
        <v>8</v>
      </c>
      <c r="E123" s="46">
        <v>980.1</v>
      </c>
      <c r="F123" s="68">
        <v>44140</v>
      </c>
      <c r="G123" s="67">
        <f>IF(F123="","",MONTH(Tabela5[[#This Row],[DATA]]))</f>
        <v>11</v>
      </c>
      <c r="H123" s="73" t="str">
        <f>TEXT(Tabela5[[#This Row],[DATA]],"Geral")</f>
        <v>44140</v>
      </c>
    </row>
    <row r="124" spans="1:8" ht="18" customHeight="1" x14ac:dyDescent="0.3">
      <c r="A124" s="71"/>
      <c r="B124" s="45" t="s">
        <v>147</v>
      </c>
      <c r="C124" s="45" t="s">
        <v>13</v>
      </c>
      <c r="D124" s="45" t="s">
        <v>2</v>
      </c>
      <c r="E124" s="46">
        <v>200</v>
      </c>
      <c r="F124" s="68">
        <v>44140</v>
      </c>
      <c r="G124" s="67">
        <f>IF(F124="","",MONTH(Tabela5[[#This Row],[DATA]]))</f>
        <v>11</v>
      </c>
      <c r="H124" s="73" t="str">
        <f>TEXT(Tabela5[[#This Row],[DATA]],"Geral")</f>
        <v>44140</v>
      </c>
    </row>
    <row r="125" spans="1:8" ht="18" customHeight="1" x14ac:dyDescent="0.3">
      <c r="A125" s="71"/>
      <c r="B125" s="45" t="s">
        <v>146</v>
      </c>
      <c r="C125" s="45" t="s">
        <v>13</v>
      </c>
      <c r="D125" s="45" t="s">
        <v>2</v>
      </c>
      <c r="E125" s="46">
        <v>350</v>
      </c>
      <c r="F125" s="68">
        <v>44140</v>
      </c>
      <c r="G125" s="67">
        <f>IF(F125="","",MONTH(Tabela5[[#This Row],[DATA]]))</f>
        <v>11</v>
      </c>
      <c r="H125" s="73" t="str">
        <f>TEXT(Tabela5[[#This Row],[DATA]],"Geral")</f>
        <v>44140</v>
      </c>
    </row>
    <row r="126" spans="1:8" ht="18" customHeight="1" x14ac:dyDescent="0.3">
      <c r="A126" s="71"/>
      <c r="B126" s="45" t="s">
        <v>145</v>
      </c>
      <c r="C126" s="45" t="s">
        <v>10</v>
      </c>
      <c r="D126" s="45" t="s">
        <v>8</v>
      </c>
      <c r="E126" s="46">
        <v>200</v>
      </c>
      <c r="F126" s="68">
        <v>44139</v>
      </c>
      <c r="G126" s="67">
        <f>IF(F126="","",MONTH(Tabela5[[#This Row],[DATA]]))</f>
        <v>11</v>
      </c>
      <c r="H126" s="73" t="str">
        <f>TEXT(Tabela5[[#This Row],[DATA]],"Geral")</f>
        <v>44139</v>
      </c>
    </row>
    <row r="127" spans="1:8" ht="18" customHeight="1" x14ac:dyDescent="0.3">
      <c r="A127" s="71"/>
      <c r="B127" s="45" t="s">
        <v>143</v>
      </c>
      <c r="C127" s="45" t="s">
        <v>13</v>
      </c>
      <c r="D127" s="45" t="s">
        <v>2</v>
      </c>
      <c r="E127" s="46">
        <v>1800</v>
      </c>
      <c r="F127" s="68">
        <v>44139</v>
      </c>
      <c r="G127" s="67">
        <f>IF(F127="","",MONTH(Tabela5[[#This Row],[DATA]]))</f>
        <v>11</v>
      </c>
      <c r="H127" s="73" t="str">
        <f>TEXT(Tabela5[[#This Row],[DATA]],"Geral")</f>
        <v>44139</v>
      </c>
    </row>
    <row r="128" spans="1:8" ht="18" customHeight="1" x14ac:dyDescent="0.3">
      <c r="A128" s="71"/>
      <c r="B128" s="45" t="s">
        <v>144</v>
      </c>
      <c r="C128" s="45" t="s">
        <v>10</v>
      </c>
      <c r="D128" s="45" t="s">
        <v>8</v>
      </c>
      <c r="E128" s="46">
        <v>50</v>
      </c>
      <c r="F128" s="68">
        <v>44138</v>
      </c>
      <c r="G128" s="67">
        <f>IF(F128="","",MONTH(Tabela5[[#This Row],[DATA]]))</f>
        <v>11</v>
      </c>
      <c r="H128" s="73" t="str">
        <f>TEXT(Tabela5[[#This Row],[DATA]],"Geral")</f>
        <v>44138</v>
      </c>
    </row>
    <row r="129" spans="1:8" ht="18.600000000000001" customHeight="1" x14ac:dyDescent="0.3">
      <c r="A129" s="71"/>
      <c r="B129" s="45" t="s">
        <v>180</v>
      </c>
      <c r="C129" s="45" t="s">
        <v>13</v>
      </c>
      <c r="D129" s="45" t="s">
        <v>2</v>
      </c>
      <c r="E129" s="46">
        <v>1800</v>
      </c>
      <c r="F129" s="68">
        <v>44138</v>
      </c>
      <c r="G129" s="67">
        <f>IF(F129="","",MONTH(Tabela5[[#This Row],[DATA]]))</f>
        <v>11</v>
      </c>
      <c r="H129" s="73" t="str">
        <f>TEXT(Tabela5[[#This Row],[DATA]],"Geral")</f>
        <v>44138</v>
      </c>
    </row>
    <row r="130" spans="1:8" ht="18" customHeight="1" x14ac:dyDescent="0.3">
      <c r="A130" s="71"/>
      <c r="B130" s="47" t="s">
        <v>125</v>
      </c>
      <c r="C130" s="45" t="s">
        <v>13</v>
      </c>
      <c r="D130" s="45" t="s">
        <v>8</v>
      </c>
      <c r="E130" s="46">
        <v>1900</v>
      </c>
      <c r="F130" s="69">
        <v>44137</v>
      </c>
      <c r="G130" s="52">
        <f>IF(F130="","",MONTH(Tabela5[[#This Row],[DATA]]))</f>
        <v>11</v>
      </c>
      <c r="H130" s="73" t="str">
        <f>TEXT(Tabela5[[#This Row],[DATA]],"Geral")</f>
        <v>44137</v>
      </c>
    </row>
    <row r="131" spans="1:8" ht="18" customHeight="1" x14ac:dyDescent="0.3">
      <c r="A131" s="71"/>
      <c r="B131" s="47" t="s">
        <v>126</v>
      </c>
      <c r="C131" s="45" t="s">
        <v>10</v>
      </c>
      <c r="D131" s="45" t="s">
        <v>8</v>
      </c>
      <c r="E131" s="46">
        <v>200</v>
      </c>
      <c r="F131" s="69">
        <v>44137</v>
      </c>
      <c r="G131" s="52">
        <f>IF(F131="","",MONTH(Tabela5[[#This Row],[DATA]]))</f>
        <v>11</v>
      </c>
      <c r="H131" s="73" t="str">
        <f>TEXT(Tabela5[[#This Row],[DATA]],"Geral")</f>
        <v>44137</v>
      </c>
    </row>
    <row r="132" spans="1:8" ht="18" customHeight="1" x14ac:dyDescent="0.3">
      <c r="A132" s="71"/>
      <c r="B132" s="47" t="s">
        <v>127</v>
      </c>
      <c r="C132" s="45" t="s">
        <v>10</v>
      </c>
      <c r="D132" s="45" t="s">
        <v>8</v>
      </c>
      <c r="E132" s="46">
        <v>50</v>
      </c>
      <c r="F132" s="69">
        <v>44134</v>
      </c>
      <c r="G132" s="52">
        <f>IF(F132="","",MONTH(Tabela5[[#This Row],[DATA]]))</f>
        <v>10</v>
      </c>
      <c r="H132" s="73" t="str">
        <f>TEXT(Tabela5[[#This Row],[DATA]],"Geral")</f>
        <v>44134</v>
      </c>
    </row>
    <row r="133" spans="1:8" ht="18" customHeight="1" x14ac:dyDescent="0.3">
      <c r="A133" s="71"/>
      <c r="B133" s="47" t="s">
        <v>128</v>
      </c>
      <c r="C133" s="45" t="s">
        <v>10</v>
      </c>
      <c r="D133" s="45" t="s">
        <v>8</v>
      </c>
      <c r="E133" s="46">
        <v>200</v>
      </c>
      <c r="F133" s="69">
        <v>44133</v>
      </c>
      <c r="G133" s="52">
        <f>IF(F133="","",MONTH(Tabela5[[#This Row],[DATA]]))</f>
        <v>10</v>
      </c>
      <c r="H133" s="73" t="str">
        <f>TEXT(Tabela5[[#This Row],[DATA]],"Geral")</f>
        <v>44133</v>
      </c>
    </row>
    <row r="134" spans="1:8" ht="18" customHeight="1" x14ac:dyDescent="0.3">
      <c r="A134" s="71"/>
      <c r="B134" s="47" t="s">
        <v>129</v>
      </c>
      <c r="C134" s="45" t="s">
        <v>13</v>
      </c>
      <c r="D134" s="45" t="s">
        <v>8</v>
      </c>
      <c r="E134" s="46">
        <v>1600</v>
      </c>
      <c r="F134" s="69">
        <v>44133</v>
      </c>
      <c r="G134" s="52">
        <f>IF(F134="","",MONTH(Tabela5[[#This Row],[DATA]]))</f>
        <v>10</v>
      </c>
      <c r="H134" s="73" t="str">
        <f>TEXT(Tabela5[[#This Row],[DATA]],"Geral")</f>
        <v>44133</v>
      </c>
    </row>
    <row r="135" spans="1:8" ht="18" customHeight="1" x14ac:dyDescent="0.3">
      <c r="A135" s="71"/>
      <c r="B135" s="47" t="s">
        <v>130</v>
      </c>
      <c r="C135" s="45" t="s">
        <v>70</v>
      </c>
      <c r="D135" s="45" t="s">
        <v>2</v>
      </c>
      <c r="E135" s="46">
        <v>2000</v>
      </c>
      <c r="F135" s="69">
        <v>44133</v>
      </c>
      <c r="G135" s="52">
        <f>IF(F135="","",MONTH(Tabela5[[#This Row],[DATA]]))</f>
        <v>10</v>
      </c>
      <c r="H135" s="73" t="str">
        <f>TEXT(Tabela5[[#This Row],[DATA]],"Geral")</f>
        <v>44133</v>
      </c>
    </row>
    <row r="136" spans="1:8" ht="18" customHeight="1" x14ac:dyDescent="0.3">
      <c r="A136" s="71"/>
      <c r="B136" s="47" t="s">
        <v>131</v>
      </c>
      <c r="C136" s="45" t="s">
        <v>10</v>
      </c>
      <c r="D136" s="45" t="s">
        <v>8</v>
      </c>
      <c r="E136" s="46">
        <v>400</v>
      </c>
      <c r="F136" s="69">
        <v>44132</v>
      </c>
      <c r="G136" s="52">
        <f>IF(F136="","",MONTH(Tabela5[[#This Row],[DATA]]))</f>
        <v>10</v>
      </c>
      <c r="H136" s="73" t="str">
        <f>TEXT(Tabela5[[#This Row],[DATA]],"Geral")</f>
        <v>44132</v>
      </c>
    </row>
    <row r="137" spans="1:8" ht="18" customHeight="1" x14ac:dyDescent="0.3">
      <c r="A137" s="71"/>
      <c r="B137" s="47" t="s">
        <v>132</v>
      </c>
      <c r="C137" s="45" t="s">
        <v>10</v>
      </c>
      <c r="D137" s="45" t="s">
        <v>8</v>
      </c>
      <c r="E137" s="46">
        <v>200</v>
      </c>
      <c r="F137" s="69">
        <v>44132</v>
      </c>
      <c r="G137" s="52">
        <f>IF(F137="","",MONTH(Tabela5[[#This Row],[DATA]]))</f>
        <v>10</v>
      </c>
      <c r="H137" s="73" t="str">
        <f>TEXT(Tabela5[[#This Row],[DATA]],"Geral")</f>
        <v>44132</v>
      </c>
    </row>
    <row r="138" spans="1:8" ht="18" customHeight="1" x14ac:dyDescent="0.3">
      <c r="A138" s="71"/>
      <c r="B138" s="47" t="s">
        <v>133</v>
      </c>
      <c r="C138" s="45" t="s">
        <v>13</v>
      </c>
      <c r="D138" s="45" t="s">
        <v>2</v>
      </c>
      <c r="E138" s="46">
        <v>750</v>
      </c>
      <c r="F138" s="69">
        <v>44130</v>
      </c>
      <c r="G138" s="52">
        <f>IF(F138="","",MONTH(Tabela5[[#This Row],[DATA]]))</f>
        <v>10</v>
      </c>
      <c r="H138" s="73" t="str">
        <f>TEXT(Tabela5[[#This Row],[DATA]],"Geral")</f>
        <v>44130</v>
      </c>
    </row>
    <row r="139" spans="1:8" ht="18" customHeight="1" x14ac:dyDescent="0.3">
      <c r="A139" s="71"/>
      <c r="B139" s="47" t="s">
        <v>134</v>
      </c>
      <c r="C139" s="45" t="s">
        <v>13</v>
      </c>
      <c r="D139" s="45" t="s">
        <v>2</v>
      </c>
      <c r="E139" s="46">
        <v>1700</v>
      </c>
      <c r="F139" s="69">
        <v>44130</v>
      </c>
      <c r="G139" s="52">
        <f>IF(F139="","",MONTH(Tabela5[[#This Row],[DATA]]))</f>
        <v>10</v>
      </c>
      <c r="H139" s="73" t="str">
        <f>TEXT(Tabela5[[#This Row],[DATA]],"Geral")</f>
        <v>44130</v>
      </c>
    </row>
    <row r="140" spans="1:8" ht="18" customHeight="1" x14ac:dyDescent="0.3">
      <c r="A140" s="71"/>
      <c r="B140" s="47" t="s">
        <v>135</v>
      </c>
      <c r="C140" s="45" t="s">
        <v>13</v>
      </c>
      <c r="D140" s="45" t="s">
        <v>2</v>
      </c>
      <c r="E140" s="46">
        <v>500</v>
      </c>
      <c r="F140" s="69">
        <v>44127</v>
      </c>
      <c r="G140" s="52">
        <f>IF(F140="","",MONTH(Tabela5[[#This Row],[DATA]]))</f>
        <v>10</v>
      </c>
      <c r="H140" s="73" t="str">
        <f>TEXT(Tabela5[[#This Row],[DATA]],"Geral")</f>
        <v>44127</v>
      </c>
    </row>
    <row r="141" spans="1:8" ht="18" customHeight="1" x14ac:dyDescent="0.3">
      <c r="A141" s="71"/>
      <c r="B141" s="47" t="s">
        <v>136</v>
      </c>
      <c r="C141" s="45" t="s">
        <v>10</v>
      </c>
      <c r="D141" s="45" t="s">
        <v>8</v>
      </c>
      <c r="E141" s="46">
        <v>200</v>
      </c>
      <c r="F141" s="69">
        <v>44126</v>
      </c>
      <c r="G141" s="52">
        <f>IF(F141="","",MONTH(Tabela5[[#This Row],[DATA]]))</f>
        <v>10</v>
      </c>
      <c r="H141" s="73" t="str">
        <f>TEXT(Tabela5[[#This Row],[DATA]],"Geral")</f>
        <v>44126</v>
      </c>
    </row>
    <row r="142" spans="1:8" ht="18" customHeight="1" x14ac:dyDescent="0.3">
      <c r="A142" s="71"/>
      <c r="B142" s="47" t="s">
        <v>136</v>
      </c>
      <c r="C142" s="45" t="s">
        <v>13</v>
      </c>
      <c r="D142" s="45" t="s">
        <v>8</v>
      </c>
      <c r="E142" s="46">
        <v>2300</v>
      </c>
      <c r="F142" s="69">
        <v>44126</v>
      </c>
      <c r="G142" s="52">
        <f>IF(F142="","",MONTH(Tabela5[[#This Row],[DATA]]))</f>
        <v>10</v>
      </c>
      <c r="H142" s="73" t="str">
        <f>TEXT(Tabela5[[#This Row],[DATA]],"Geral")</f>
        <v>44126</v>
      </c>
    </row>
    <row r="143" spans="1:8" ht="18" customHeight="1" x14ac:dyDescent="0.3">
      <c r="A143" s="71"/>
      <c r="B143" s="47" t="s">
        <v>137</v>
      </c>
      <c r="C143" s="45" t="s">
        <v>13</v>
      </c>
      <c r="D143" s="45" t="s">
        <v>8</v>
      </c>
      <c r="E143" s="46">
        <v>530</v>
      </c>
      <c r="F143" s="69">
        <v>44125</v>
      </c>
      <c r="G143" s="52">
        <f>IF(F143="","",MONTH(Tabela5[[#This Row],[DATA]]))</f>
        <v>10</v>
      </c>
      <c r="H143" s="73" t="str">
        <f>TEXT(Tabela5[[#This Row],[DATA]],"Geral")</f>
        <v>44125</v>
      </c>
    </row>
    <row r="144" spans="1:8" ht="18" customHeight="1" x14ac:dyDescent="0.3">
      <c r="A144" s="71"/>
      <c r="B144" s="47" t="s">
        <v>137</v>
      </c>
      <c r="C144" s="45" t="s">
        <v>13</v>
      </c>
      <c r="D144" s="45" t="s">
        <v>2</v>
      </c>
      <c r="E144" s="46">
        <v>1000</v>
      </c>
      <c r="F144" s="69">
        <v>44125</v>
      </c>
      <c r="G144" s="52">
        <f>IF(F144="","",MONTH(Tabela5[[#This Row],[DATA]]))</f>
        <v>10</v>
      </c>
      <c r="H144" s="73" t="str">
        <f>TEXT(Tabela5[[#This Row],[DATA]],"Geral")</f>
        <v>44125</v>
      </c>
    </row>
    <row r="145" spans="1:8" ht="18" customHeight="1" x14ac:dyDescent="0.3">
      <c r="A145" s="71"/>
      <c r="B145" s="47" t="s">
        <v>138</v>
      </c>
      <c r="C145" s="45" t="s">
        <v>139</v>
      </c>
      <c r="D145" s="45" t="s">
        <v>8</v>
      </c>
      <c r="E145" s="46">
        <v>600</v>
      </c>
      <c r="F145" s="69">
        <v>44124</v>
      </c>
      <c r="G145" s="52">
        <f>IF(F145="","",MONTH(Tabela5[[#This Row],[DATA]]))</f>
        <v>10</v>
      </c>
      <c r="H145" s="73" t="str">
        <f>TEXT(Tabela5[[#This Row],[DATA]],"Geral")</f>
        <v>44124</v>
      </c>
    </row>
    <row r="146" spans="1:8" ht="18" customHeight="1" x14ac:dyDescent="0.3">
      <c r="A146" s="71"/>
      <c r="B146" s="47" t="s">
        <v>138</v>
      </c>
      <c r="C146" s="45" t="s">
        <v>13</v>
      </c>
      <c r="D146" s="45" t="s">
        <v>2</v>
      </c>
      <c r="E146" s="46">
        <v>1000</v>
      </c>
      <c r="F146" s="69">
        <v>44124</v>
      </c>
      <c r="G146" s="52">
        <f>IF(F146="","",MONTH(Tabela5[[#This Row],[DATA]]))</f>
        <v>10</v>
      </c>
      <c r="H146" s="73" t="str">
        <f>TEXT(Tabela5[[#This Row],[DATA]],"Geral")</f>
        <v>44124</v>
      </c>
    </row>
    <row r="147" spans="1:8" ht="18" customHeight="1" x14ac:dyDescent="0.3">
      <c r="A147" s="71"/>
      <c r="B147" s="47" t="s">
        <v>129</v>
      </c>
      <c r="C147" s="45" t="s">
        <v>10</v>
      </c>
      <c r="D147" s="45" t="s">
        <v>8</v>
      </c>
      <c r="E147" s="46">
        <v>100</v>
      </c>
      <c r="F147" s="69">
        <v>44123</v>
      </c>
      <c r="G147" s="52">
        <f>IF(F147="","",MONTH(Tabela5[[#This Row],[DATA]]))</f>
        <v>10</v>
      </c>
      <c r="H147" s="73" t="str">
        <f>TEXT(Tabela5[[#This Row],[DATA]],"Geral")</f>
        <v>44123</v>
      </c>
    </row>
    <row r="148" spans="1:8" ht="18" customHeight="1" x14ac:dyDescent="0.3">
      <c r="A148" s="71"/>
      <c r="B148" s="47" t="s">
        <v>140</v>
      </c>
      <c r="C148" s="45" t="s">
        <v>13</v>
      </c>
      <c r="D148" s="45" t="s">
        <v>8</v>
      </c>
      <c r="E148" s="46">
        <v>330</v>
      </c>
      <c r="F148" s="69">
        <v>44123</v>
      </c>
      <c r="G148" s="52">
        <f>IF(F148="","",MONTH(Tabela5[[#This Row],[DATA]]))</f>
        <v>10</v>
      </c>
      <c r="H148" s="73" t="str">
        <f>TEXT(Tabela5[[#This Row],[DATA]],"Geral")</f>
        <v>44123</v>
      </c>
    </row>
    <row r="149" spans="1:8" ht="18" customHeight="1" x14ac:dyDescent="0.3">
      <c r="A149" s="71"/>
      <c r="B149" s="47" t="s">
        <v>91</v>
      </c>
      <c r="C149" s="45" t="s">
        <v>13</v>
      </c>
      <c r="D149" s="45" t="s">
        <v>2</v>
      </c>
      <c r="E149" s="46">
        <v>1400</v>
      </c>
      <c r="F149" s="69">
        <v>44120</v>
      </c>
      <c r="G149" s="52">
        <f>IF(F149="","",MONTH(Tabela5[[#This Row],[DATA]]))</f>
        <v>10</v>
      </c>
      <c r="H149" s="73" t="str">
        <f>TEXT(Tabela5[[#This Row],[DATA]],"Geral")</f>
        <v>44120</v>
      </c>
    </row>
    <row r="150" spans="1:8" ht="18" customHeight="1" x14ac:dyDescent="0.3">
      <c r="A150" s="71"/>
      <c r="B150" s="47" t="s">
        <v>140</v>
      </c>
      <c r="C150" s="45" t="s">
        <v>10</v>
      </c>
      <c r="D150" s="45" t="s">
        <v>8</v>
      </c>
      <c r="E150" s="46">
        <v>100</v>
      </c>
      <c r="F150" s="69">
        <v>44119</v>
      </c>
      <c r="G150" s="52">
        <f>IF(F150="","",MONTH(Tabela5[[#This Row],[DATA]]))</f>
        <v>10</v>
      </c>
      <c r="H150" s="73" t="str">
        <f>TEXT(Tabela5[[#This Row],[DATA]],"Geral")</f>
        <v>44119</v>
      </c>
    </row>
    <row r="151" spans="1:8" ht="18" customHeight="1" x14ac:dyDescent="0.3">
      <c r="A151" s="71"/>
      <c r="B151" s="47" t="s">
        <v>54</v>
      </c>
      <c r="C151" s="45" t="s">
        <v>13</v>
      </c>
      <c r="D151" s="45" t="s">
        <v>2</v>
      </c>
      <c r="E151" s="46">
        <v>1400</v>
      </c>
      <c r="F151" s="69">
        <v>44119</v>
      </c>
      <c r="G151" s="52">
        <f>IF(F151="","",MONTH(Tabela5[[#This Row],[DATA]]))</f>
        <v>10</v>
      </c>
      <c r="H151" s="73" t="str">
        <f>TEXT(Tabela5[[#This Row],[DATA]],"Geral")</f>
        <v>44119</v>
      </c>
    </row>
    <row r="152" spans="1:8" ht="18" customHeight="1" x14ac:dyDescent="0.3">
      <c r="A152" s="71"/>
      <c r="B152" s="47" t="s">
        <v>141</v>
      </c>
      <c r="C152" s="45" t="s">
        <v>13</v>
      </c>
      <c r="D152" s="45" t="s">
        <v>8</v>
      </c>
      <c r="E152" s="46">
        <v>320</v>
      </c>
      <c r="F152" s="69">
        <v>44117</v>
      </c>
      <c r="G152" s="52">
        <f>IF(F152="","",MONTH(Tabela5[[#This Row],[DATA]]))</f>
        <v>10</v>
      </c>
      <c r="H152" s="73" t="str">
        <f>TEXT(Tabela5[[#This Row],[DATA]],"Geral")</f>
        <v>44117</v>
      </c>
    </row>
    <row r="153" spans="1:8" ht="18" customHeight="1" x14ac:dyDescent="0.3">
      <c r="A153" s="71"/>
      <c r="B153" s="47" t="s">
        <v>141</v>
      </c>
      <c r="C153" s="45" t="s">
        <v>13</v>
      </c>
      <c r="D153" s="45" t="s">
        <v>2</v>
      </c>
      <c r="E153" s="46">
        <v>1080</v>
      </c>
      <c r="F153" s="69">
        <v>44117</v>
      </c>
      <c r="G153" s="52">
        <f>IF(F153="","",MONTH(Tabela5[[#This Row],[DATA]]))</f>
        <v>10</v>
      </c>
      <c r="H153" s="73" t="str">
        <f>TEXT(Tabela5[[#This Row],[DATA]],"Geral")</f>
        <v>44117</v>
      </c>
    </row>
    <row r="154" spans="1:8" ht="18" customHeight="1" x14ac:dyDescent="0.3">
      <c r="A154" s="71"/>
      <c r="B154" s="47" t="s">
        <v>142</v>
      </c>
      <c r="C154" s="45" t="s">
        <v>10</v>
      </c>
      <c r="D154" s="45" t="s">
        <v>8</v>
      </c>
      <c r="E154" s="46">
        <v>100</v>
      </c>
      <c r="F154" s="69">
        <v>44117</v>
      </c>
      <c r="G154" s="52">
        <f>IF(F154="","",MONTH(Tabela5[[#This Row],[DATA]]))</f>
        <v>10</v>
      </c>
      <c r="H154" s="73" t="str">
        <f>TEXT(Tabela5[[#This Row],[DATA]],"Geral")</f>
        <v>44117</v>
      </c>
    </row>
    <row r="155" spans="1:8" ht="18" customHeight="1" x14ac:dyDescent="0.3">
      <c r="A155" s="71"/>
      <c r="B155" s="47" t="s">
        <v>104</v>
      </c>
      <c r="C155" s="45" t="s">
        <v>13</v>
      </c>
      <c r="D155" s="45" t="s">
        <v>2</v>
      </c>
      <c r="E155" s="46">
        <v>1700</v>
      </c>
      <c r="F155" s="69">
        <v>44116</v>
      </c>
      <c r="G155" s="52">
        <f>IF(F155="","",MONTH(Tabela5[[#This Row],[DATA]]))</f>
        <v>10</v>
      </c>
      <c r="H155" s="73" t="str">
        <f>TEXT(Tabela5[[#This Row],[DATA]],"Geral")</f>
        <v>44116</v>
      </c>
    </row>
    <row r="156" spans="1:8" ht="18" customHeight="1" x14ac:dyDescent="0.3">
      <c r="A156" s="71"/>
      <c r="B156" s="47" t="s">
        <v>103</v>
      </c>
      <c r="C156" s="45" t="s">
        <v>13</v>
      </c>
      <c r="D156" s="45" t="s">
        <v>2</v>
      </c>
      <c r="E156" s="46">
        <v>1400</v>
      </c>
      <c r="F156" s="69">
        <v>44114</v>
      </c>
      <c r="G156" s="52">
        <f>IF(F156="","",MONTH(Tabela5[[#This Row],[DATA]]))</f>
        <v>10</v>
      </c>
      <c r="H156" s="73" t="str">
        <f>TEXT(Tabela5[[#This Row],[DATA]],"Geral")</f>
        <v>44114</v>
      </c>
    </row>
    <row r="157" spans="1:8" ht="18" customHeight="1" x14ac:dyDescent="0.3">
      <c r="A157" s="71"/>
      <c r="B157" s="47" t="s">
        <v>102</v>
      </c>
      <c r="C157" s="45" t="s">
        <v>13</v>
      </c>
      <c r="D157" s="45" t="s">
        <v>8</v>
      </c>
      <c r="E157" s="46">
        <v>650</v>
      </c>
      <c r="F157" s="69">
        <v>44112</v>
      </c>
      <c r="G157" s="52">
        <f>IF(F157="","",MONTH(Tabela5[[#This Row],[DATA]]))</f>
        <v>10</v>
      </c>
      <c r="H157" s="73" t="str">
        <f>TEXT(Tabela5[[#This Row],[DATA]],"Geral")</f>
        <v>44112</v>
      </c>
    </row>
    <row r="158" spans="1:8" ht="18" customHeight="1" x14ac:dyDescent="0.3">
      <c r="A158" s="71"/>
      <c r="B158" s="47" t="s">
        <v>101</v>
      </c>
      <c r="C158" s="45" t="s">
        <v>13</v>
      </c>
      <c r="D158" s="45" t="s">
        <v>8</v>
      </c>
      <c r="E158" s="46">
        <v>1600</v>
      </c>
      <c r="F158" s="69">
        <v>44112</v>
      </c>
      <c r="G158" s="52">
        <f>IF(F158="","",MONTH(Tabela5[[#This Row],[DATA]]))</f>
        <v>10</v>
      </c>
      <c r="H158" s="73" t="str">
        <f>TEXT(Tabela5[[#This Row],[DATA]],"Geral")</f>
        <v>44112</v>
      </c>
    </row>
    <row r="159" spans="1:8" ht="18" customHeight="1" x14ac:dyDescent="0.3">
      <c r="A159" s="71"/>
      <c r="B159" s="47" t="s">
        <v>100</v>
      </c>
      <c r="C159" s="45" t="s">
        <v>10</v>
      </c>
      <c r="D159" s="45" t="s">
        <v>8</v>
      </c>
      <c r="E159" s="46">
        <v>100</v>
      </c>
      <c r="F159" s="69">
        <v>44111</v>
      </c>
      <c r="G159" s="52">
        <f>IF(F159="","",MONTH(Tabela5[[#This Row],[DATA]]))</f>
        <v>10</v>
      </c>
      <c r="H159" s="73" t="str">
        <f>TEXT(Tabela5[[#This Row],[DATA]],"Geral")</f>
        <v>44111</v>
      </c>
    </row>
    <row r="160" spans="1:8" ht="18" customHeight="1" x14ac:dyDescent="0.3">
      <c r="A160" s="71"/>
      <c r="B160" s="47" t="s">
        <v>99</v>
      </c>
      <c r="C160" s="45" t="s">
        <v>13</v>
      </c>
      <c r="D160" s="45" t="s">
        <v>8</v>
      </c>
      <c r="E160" s="46">
        <v>600</v>
      </c>
      <c r="F160" s="69">
        <v>44110</v>
      </c>
      <c r="G160" s="52">
        <f>IF(F160="","",MONTH(Tabela5[[#This Row],[DATA]]))</f>
        <v>10</v>
      </c>
      <c r="H160" s="73" t="str">
        <f>TEXT(Tabela5[[#This Row],[DATA]],"Geral")</f>
        <v>44110</v>
      </c>
    </row>
    <row r="161" spans="1:8" ht="18" customHeight="1" x14ac:dyDescent="0.3">
      <c r="A161" s="71"/>
      <c r="B161" s="47" t="s">
        <v>99</v>
      </c>
      <c r="C161" s="45" t="s">
        <v>13</v>
      </c>
      <c r="D161" s="45" t="s">
        <v>2</v>
      </c>
      <c r="E161" s="46">
        <v>1000</v>
      </c>
      <c r="F161" s="69">
        <v>44110</v>
      </c>
      <c r="G161" s="52">
        <f>IF(F161="","",MONTH(Tabela5[[#This Row],[DATA]]))</f>
        <v>10</v>
      </c>
      <c r="H161" s="73" t="str">
        <f>TEXT(Tabela5[[#This Row],[DATA]],"Geral")</f>
        <v>44110</v>
      </c>
    </row>
    <row r="162" spans="1:8" ht="18" customHeight="1" x14ac:dyDescent="0.3">
      <c r="A162" s="71"/>
      <c r="B162" s="47" t="s">
        <v>98</v>
      </c>
      <c r="C162" s="45" t="s">
        <v>13</v>
      </c>
      <c r="D162" s="45" t="s">
        <v>8</v>
      </c>
      <c r="E162" s="46">
        <v>400</v>
      </c>
      <c r="F162" s="69">
        <v>44110</v>
      </c>
      <c r="G162" s="52">
        <f>IF(F162="","",MONTH(Tabela5[[#This Row],[DATA]]))</f>
        <v>10</v>
      </c>
      <c r="H162" s="73" t="str">
        <f>TEXT(Tabela5[[#This Row],[DATA]],"Geral")</f>
        <v>44110</v>
      </c>
    </row>
    <row r="163" spans="1:8" ht="18" customHeight="1" x14ac:dyDescent="0.3">
      <c r="A163" s="71"/>
      <c r="B163" s="47" t="s">
        <v>97</v>
      </c>
      <c r="C163" s="45" t="s">
        <v>13</v>
      </c>
      <c r="D163" s="45" t="s">
        <v>8</v>
      </c>
      <c r="E163" s="46">
        <v>1300</v>
      </c>
      <c r="F163" s="69">
        <v>44110</v>
      </c>
      <c r="G163" s="52">
        <f>IF(F163="","",MONTH(Tabela5[[#This Row],[DATA]]))</f>
        <v>10</v>
      </c>
      <c r="H163" s="73" t="str">
        <f>TEXT(Tabela5[[#This Row],[DATA]],"Geral")</f>
        <v>44110</v>
      </c>
    </row>
    <row r="164" spans="1:8" ht="18" customHeight="1" x14ac:dyDescent="0.3">
      <c r="A164" s="71"/>
      <c r="B164" s="47" t="s">
        <v>96</v>
      </c>
      <c r="C164" s="45" t="s">
        <v>10</v>
      </c>
      <c r="D164" s="45" t="s">
        <v>8</v>
      </c>
      <c r="E164" s="46">
        <v>100</v>
      </c>
      <c r="F164" s="69">
        <v>44110</v>
      </c>
      <c r="G164" s="52">
        <f>IF(F164="","",MONTH(Tabela5[[#This Row],[DATA]]))</f>
        <v>10</v>
      </c>
      <c r="H164" s="73" t="str">
        <f>TEXT(Tabela5[[#This Row],[DATA]],"Geral")</f>
        <v>44110</v>
      </c>
    </row>
    <row r="165" spans="1:8" ht="18" customHeight="1" x14ac:dyDescent="0.3">
      <c r="A165" s="71"/>
      <c r="B165" s="47" t="s">
        <v>95</v>
      </c>
      <c r="C165" s="45" t="s">
        <v>10</v>
      </c>
      <c r="D165" s="45" t="s">
        <v>8</v>
      </c>
      <c r="E165" s="46">
        <v>100</v>
      </c>
      <c r="F165" s="69">
        <v>44110</v>
      </c>
      <c r="G165" s="52">
        <f>IF(F165="","",MONTH(Tabela5[[#This Row],[DATA]]))</f>
        <v>10</v>
      </c>
      <c r="H165" s="73" t="str">
        <f>TEXT(Tabela5[[#This Row],[DATA]],"Geral")</f>
        <v>44110</v>
      </c>
    </row>
    <row r="166" spans="1:8" ht="18" customHeight="1" x14ac:dyDescent="0.3">
      <c r="A166" s="71"/>
      <c r="B166" s="47" t="s">
        <v>90</v>
      </c>
      <c r="C166" s="45" t="s">
        <v>13</v>
      </c>
      <c r="D166" s="45" t="s">
        <v>2</v>
      </c>
      <c r="E166" s="46">
        <v>2000</v>
      </c>
      <c r="F166" s="69">
        <v>44106</v>
      </c>
      <c r="G166" s="52">
        <f>IF(F166="","",MONTH(Tabela5[[#This Row],[DATA]]))</f>
        <v>10</v>
      </c>
      <c r="H166" s="73" t="str">
        <f>TEXT(Tabela5[[#This Row],[DATA]],"Geral")</f>
        <v>44106</v>
      </c>
    </row>
    <row r="167" spans="1:8" ht="18" customHeight="1" x14ac:dyDescent="0.3">
      <c r="A167" s="71"/>
      <c r="B167" s="47" t="s">
        <v>173</v>
      </c>
      <c r="C167" s="45" t="s">
        <v>10</v>
      </c>
      <c r="D167" s="45" t="s">
        <v>8</v>
      </c>
      <c r="E167" s="46">
        <v>100</v>
      </c>
      <c r="F167" s="69">
        <v>44106</v>
      </c>
      <c r="G167" s="52">
        <f>IF(F167="","",MONTH(Tabela5[[#This Row],[DATA]]))</f>
        <v>10</v>
      </c>
      <c r="H167" s="73" t="str">
        <f>TEXT(Tabela5[[#This Row],[DATA]],"Geral")</f>
        <v>44106</v>
      </c>
    </row>
    <row r="168" spans="1:8" ht="18" customHeight="1" x14ac:dyDescent="0.3">
      <c r="A168" s="71"/>
      <c r="B168" s="47" t="s">
        <v>89</v>
      </c>
      <c r="C168" s="45" t="s">
        <v>13</v>
      </c>
      <c r="D168" s="45" t="s">
        <v>8</v>
      </c>
      <c r="E168" s="46">
        <v>750</v>
      </c>
      <c r="F168" s="69">
        <v>44106</v>
      </c>
      <c r="G168" s="52">
        <f>IF(F168="","",MONTH(Tabela5[[#This Row],[DATA]]))</f>
        <v>10</v>
      </c>
      <c r="H168" s="73" t="str">
        <f>TEXT(Tabela5[[#This Row],[DATA]],"Geral")</f>
        <v>44106</v>
      </c>
    </row>
    <row r="169" spans="1:8" ht="18" customHeight="1" x14ac:dyDescent="0.3">
      <c r="A169" s="71"/>
      <c r="B169" s="47" t="s">
        <v>88</v>
      </c>
      <c r="C169" s="45" t="s">
        <v>13</v>
      </c>
      <c r="D169" s="45" t="s">
        <v>8</v>
      </c>
      <c r="E169" s="46">
        <v>450</v>
      </c>
      <c r="F169" s="69">
        <v>44106</v>
      </c>
      <c r="G169" s="52">
        <f>IF(F169="","",MONTH(Tabela5[[#This Row],[DATA]]))</f>
        <v>10</v>
      </c>
      <c r="H169" s="73" t="str">
        <f>TEXT(Tabela5[[#This Row],[DATA]],"Geral")</f>
        <v>44106</v>
      </c>
    </row>
    <row r="170" spans="1:8" ht="18" customHeight="1" x14ac:dyDescent="0.3">
      <c r="A170" s="71"/>
      <c r="B170" s="47" t="s">
        <v>87</v>
      </c>
      <c r="C170" s="45" t="s">
        <v>10</v>
      </c>
      <c r="D170" s="45" t="s">
        <v>8</v>
      </c>
      <c r="E170" s="46">
        <v>50</v>
      </c>
      <c r="F170" s="69">
        <v>44106</v>
      </c>
      <c r="G170" s="52">
        <f>IF(F170="","",MONTH(Tabela5[[#This Row],[DATA]]))</f>
        <v>10</v>
      </c>
      <c r="H170" s="73" t="str">
        <f>TEXT(Tabela5[[#This Row],[DATA]],"Geral")</f>
        <v>44106</v>
      </c>
    </row>
    <row r="171" spans="1:8" ht="18" customHeight="1" x14ac:dyDescent="0.3">
      <c r="A171" s="71"/>
      <c r="B171" s="47" t="s">
        <v>102</v>
      </c>
      <c r="C171" s="45" t="s">
        <v>10</v>
      </c>
      <c r="D171" s="45" t="s">
        <v>8</v>
      </c>
      <c r="E171" s="46">
        <v>50</v>
      </c>
      <c r="F171" s="69">
        <v>44105</v>
      </c>
      <c r="G171" s="52">
        <f>IF(F171="","",MONTH(Tabela5[[#This Row],[DATA]]))</f>
        <v>10</v>
      </c>
      <c r="H171" s="73" t="str">
        <f>TEXT(Tabela5[[#This Row],[DATA]],"Geral")</f>
        <v>44105</v>
      </c>
    </row>
    <row r="172" spans="1:8" ht="18" customHeight="1" x14ac:dyDescent="0.3">
      <c r="A172" s="71"/>
      <c r="B172" s="47" t="s">
        <v>86</v>
      </c>
      <c r="C172" s="45" t="s">
        <v>13</v>
      </c>
      <c r="D172" s="45" t="s">
        <v>2</v>
      </c>
      <c r="E172" s="46">
        <v>650</v>
      </c>
      <c r="F172" s="69">
        <v>44105</v>
      </c>
      <c r="G172" s="52">
        <f>IF(F172="","",MONTH(Tabela5[[#This Row],[DATA]]))</f>
        <v>10</v>
      </c>
      <c r="H172" s="73" t="str">
        <f>TEXT(Tabela5[[#This Row],[DATA]],"Geral")</f>
        <v>44105</v>
      </c>
    </row>
    <row r="173" spans="1:8" ht="18" customHeight="1" x14ac:dyDescent="0.3">
      <c r="A173" s="71"/>
      <c r="B173" s="47" t="s">
        <v>85</v>
      </c>
      <c r="C173" s="45" t="s">
        <v>10</v>
      </c>
      <c r="D173" s="45" t="s">
        <v>8</v>
      </c>
      <c r="E173" s="46">
        <v>200</v>
      </c>
      <c r="F173" s="69">
        <v>44104</v>
      </c>
      <c r="G173" s="52">
        <f>IF(F173="","",MONTH(Tabela5[[#This Row],[DATA]]))</f>
        <v>9</v>
      </c>
      <c r="H173" s="73" t="str">
        <f>TEXT(Tabela5[[#This Row],[DATA]],"Geral")</f>
        <v>44104</v>
      </c>
    </row>
    <row r="174" spans="1:8" ht="18" customHeight="1" x14ac:dyDescent="0.3">
      <c r="A174" s="71"/>
      <c r="B174" s="47" t="s">
        <v>86</v>
      </c>
      <c r="C174" s="45" t="s">
        <v>10</v>
      </c>
      <c r="D174" s="45" t="s">
        <v>8</v>
      </c>
      <c r="E174" s="46">
        <v>50</v>
      </c>
      <c r="F174" s="69">
        <v>44104</v>
      </c>
      <c r="G174" s="52">
        <f>IF(F174="","",MONTH(Tabela5[[#This Row],[DATA]]))</f>
        <v>9</v>
      </c>
      <c r="H174" s="73" t="str">
        <f>TEXT(Tabela5[[#This Row],[DATA]],"Geral")</f>
        <v>44104</v>
      </c>
    </row>
    <row r="175" spans="1:8" ht="18" customHeight="1" x14ac:dyDescent="0.3">
      <c r="A175" s="71"/>
      <c r="B175" s="47" t="s">
        <v>84</v>
      </c>
      <c r="C175" s="45" t="s">
        <v>10</v>
      </c>
      <c r="D175" s="45" t="s">
        <v>8</v>
      </c>
      <c r="E175" s="46">
        <v>200</v>
      </c>
      <c r="F175" s="69">
        <v>44104</v>
      </c>
      <c r="G175" s="52">
        <f>IF(F175="","",MONTH(Tabela5[[#This Row],[DATA]]))</f>
        <v>9</v>
      </c>
      <c r="H175" s="73" t="str">
        <f>TEXT(Tabela5[[#This Row],[DATA]],"Geral")</f>
        <v>44104</v>
      </c>
    </row>
    <row r="176" spans="1:8" ht="18" customHeight="1" x14ac:dyDescent="0.3">
      <c r="A176" s="71"/>
      <c r="B176" s="47" t="s">
        <v>49</v>
      </c>
      <c r="C176" s="45" t="s">
        <v>13</v>
      </c>
      <c r="D176" s="45" t="s">
        <v>2</v>
      </c>
      <c r="E176" s="46">
        <v>1500</v>
      </c>
      <c r="F176" s="69">
        <v>44103</v>
      </c>
      <c r="G176" s="52">
        <f>IF(F176="","",MONTH(Tabela5[[#This Row],[DATA]]))</f>
        <v>9</v>
      </c>
      <c r="H176" s="73" t="str">
        <f>TEXT(Tabela5[[#This Row],[DATA]],"Geral")</f>
        <v>44103</v>
      </c>
    </row>
    <row r="177" spans="1:8" ht="18" customHeight="1" x14ac:dyDescent="0.3">
      <c r="A177" s="71"/>
      <c r="B177" s="47" t="s">
        <v>83</v>
      </c>
      <c r="C177" s="45" t="s">
        <v>10</v>
      </c>
      <c r="D177" s="45" t="s">
        <v>8</v>
      </c>
      <c r="E177" s="46">
        <v>200</v>
      </c>
      <c r="F177" s="69">
        <v>44103</v>
      </c>
      <c r="G177" s="52">
        <f>IF(F177="","",MONTH(Tabela5[[#This Row],[DATA]]))</f>
        <v>9</v>
      </c>
      <c r="H177" s="73" t="str">
        <f>TEXT(Tabela5[[#This Row],[DATA]],"Geral")</f>
        <v>44103</v>
      </c>
    </row>
    <row r="178" spans="1:8" ht="18" customHeight="1" x14ac:dyDescent="0.3">
      <c r="A178" s="71"/>
      <c r="B178" s="47" t="s">
        <v>82</v>
      </c>
      <c r="C178" s="45" t="s">
        <v>13</v>
      </c>
      <c r="D178" s="45" t="s">
        <v>8</v>
      </c>
      <c r="E178" s="46">
        <v>300</v>
      </c>
      <c r="F178" s="69">
        <v>44102</v>
      </c>
      <c r="G178" s="52">
        <f>IF(F178="","",MONTH(Tabela5[[#This Row],[DATA]]))</f>
        <v>9</v>
      </c>
      <c r="H178" s="73" t="str">
        <f>TEXT(Tabela5[[#This Row],[DATA]],"Geral")</f>
        <v>44102</v>
      </c>
    </row>
    <row r="179" spans="1:8" ht="18" customHeight="1" x14ac:dyDescent="0.3">
      <c r="A179" s="71"/>
      <c r="B179" s="47" t="s">
        <v>81</v>
      </c>
      <c r="C179" s="45" t="s">
        <v>13</v>
      </c>
      <c r="D179" s="45" t="s">
        <v>2</v>
      </c>
      <c r="E179" s="46">
        <v>650</v>
      </c>
      <c r="F179" s="69">
        <v>44102</v>
      </c>
      <c r="G179" s="52">
        <f>IF(F179="","",MONTH(Tabela5[[#This Row],[DATA]]))</f>
        <v>9</v>
      </c>
      <c r="H179" s="73" t="str">
        <f>TEXT(Tabela5[[#This Row],[DATA]],"Geral")</f>
        <v>44102</v>
      </c>
    </row>
    <row r="180" spans="1:8" ht="18" customHeight="1" x14ac:dyDescent="0.3">
      <c r="A180" s="71"/>
      <c r="B180" s="47" t="s">
        <v>80</v>
      </c>
      <c r="C180" s="45" t="s">
        <v>10</v>
      </c>
      <c r="D180" s="45" t="s">
        <v>8</v>
      </c>
      <c r="E180" s="46">
        <v>200</v>
      </c>
      <c r="F180" s="69">
        <v>44099</v>
      </c>
      <c r="G180" s="52">
        <f>IF(F180="","",MONTH(Tabela5[[#This Row],[DATA]]))</f>
        <v>9</v>
      </c>
      <c r="H180" s="73" t="str">
        <f>TEXT(Tabela5[[#This Row],[DATA]],"Geral")</f>
        <v>44099</v>
      </c>
    </row>
    <row r="181" spans="1:8" ht="18" customHeight="1" x14ac:dyDescent="0.3">
      <c r="A181" s="71"/>
      <c r="B181" s="47" t="s">
        <v>91</v>
      </c>
      <c r="C181" s="45" t="s">
        <v>13</v>
      </c>
      <c r="D181" s="45" t="s">
        <v>8</v>
      </c>
      <c r="E181" s="46">
        <v>1900</v>
      </c>
      <c r="F181" s="69">
        <v>44099</v>
      </c>
      <c r="G181" s="52">
        <f>IF(F181="","",MONTH(Tabela5[[#This Row],[DATA]]))</f>
        <v>9</v>
      </c>
      <c r="H181" s="73" t="str">
        <f>TEXT(Tabela5[[#This Row],[DATA]],"Geral")</f>
        <v>44099</v>
      </c>
    </row>
    <row r="182" spans="1:8" ht="18" customHeight="1" x14ac:dyDescent="0.3">
      <c r="A182" s="71"/>
      <c r="B182" s="47" t="s">
        <v>74</v>
      </c>
      <c r="C182" s="45" t="s">
        <v>10</v>
      </c>
      <c r="D182" s="45" t="s">
        <v>8</v>
      </c>
      <c r="E182" s="46">
        <v>200</v>
      </c>
      <c r="F182" s="69">
        <v>44099</v>
      </c>
      <c r="G182" s="52">
        <f>IF(F182="","",MONTH(Tabela5[[#This Row],[DATA]]))</f>
        <v>9</v>
      </c>
      <c r="H182" s="73" t="str">
        <f>TEXT(Tabela5[[#This Row],[DATA]],"Geral")</f>
        <v>44099</v>
      </c>
    </row>
    <row r="183" spans="1:8" ht="18" customHeight="1" x14ac:dyDescent="0.3">
      <c r="A183" s="71"/>
      <c r="B183" s="47" t="s">
        <v>81</v>
      </c>
      <c r="C183" s="45" t="s">
        <v>10</v>
      </c>
      <c r="D183" s="45" t="s">
        <v>8</v>
      </c>
      <c r="E183" s="46">
        <v>50</v>
      </c>
      <c r="F183" s="69">
        <v>44098</v>
      </c>
      <c r="G183" s="52">
        <f>IF(F183="","",MONTH(Tabela5[[#This Row],[DATA]]))</f>
        <v>9</v>
      </c>
      <c r="H183" s="73" t="str">
        <f>TEXT(Tabela5[[#This Row],[DATA]],"Geral")</f>
        <v>44098</v>
      </c>
    </row>
    <row r="184" spans="1:8" ht="18" customHeight="1" x14ac:dyDescent="0.3">
      <c r="A184" s="71"/>
      <c r="B184" s="47" t="s">
        <v>73</v>
      </c>
      <c r="C184" s="45" t="s">
        <v>10</v>
      </c>
      <c r="D184" s="45" t="s">
        <v>8</v>
      </c>
      <c r="E184" s="46">
        <v>200</v>
      </c>
      <c r="F184" s="69">
        <v>44098</v>
      </c>
      <c r="G184" s="52">
        <f>IF(F184="","",MONTH(Tabela5[[#This Row],[DATA]]))</f>
        <v>9</v>
      </c>
      <c r="H184" s="73" t="str">
        <f>TEXT(Tabela5[[#This Row],[DATA]],"Geral")</f>
        <v>44098</v>
      </c>
    </row>
    <row r="185" spans="1:8" ht="18" customHeight="1" x14ac:dyDescent="0.3">
      <c r="A185" s="71"/>
      <c r="B185" s="47" t="s">
        <v>72</v>
      </c>
      <c r="C185" s="45" t="s">
        <v>13</v>
      </c>
      <c r="D185" s="45" t="s">
        <v>2</v>
      </c>
      <c r="E185" s="46">
        <v>1500</v>
      </c>
      <c r="F185" s="69">
        <v>44098</v>
      </c>
      <c r="G185" s="52">
        <f>IF(F185="","",MONTH(Tabela5[[#This Row],[DATA]]))</f>
        <v>9</v>
      </c>
      <c r="H185" s="73" t="str">
        <f>TEXT(Tabela5[[#This Row],[DATA]],"Geral")</f>
        <v>44098</v>
      </c>
    </row>
    <row r="186" spans="1:8" ht="18" customHeight="1" x14ac:dyDescent="0.3">
      <c r="A186" s="71"/>
      <c r="B186" s="47" t="s">
        <v>68</v>
      </c>
      <c r="C186" s="45" t="s">
        <v>10</v>
      </c>
      <c r="D186" s="45" t="s">
        <v>8</v>
      </c>
      <c r="E186" s="46">
        <v>200</v>
      </c>
      <c r="F186" s="69">
        <v>44098</v>
      </c>
      <c r="G186" s="52">
        <f>IF(F186="","",MONTH(Tabela5[[#This Row],[DATA]]))</f>
        <v>9</v>
      </c>
      <c r="H186" s="73" t="str">
        <f>TEXT(Tabela5[[#This Row],[DATA]],"Geral")</f>
        <v>44098</v>
      </c>
    </row>
    <row r="187" spans="1:8" ht="18" customHeight="1" x14ac:dyDescent="0.3">
      <c r="A187" s="71"/>
      <c r="B187" s="47" t="s">
        <v>67</v>
      </c>
      <c r="C187" s="45" t="s">
        <v>10</v>
      </c>
      <c r="D187" s="45" t="s">
        <v>8</v>
      </c>
      <c r="E187" s="46">
        <v>200</v>
      </c>
      <c r="F187" s="69">
        <v>44098</v>
      </c>
      <c r="G187" s="52">
        <f>IF(F187="","",MONTH(Tabela5[[#This Row],[DATA]]))</f>
        <v>9</v>
      </c>
      <c r="H187" s="73" t="str">
        <f>TEXT(Tabela5[[#This Row],[DATA]],"Geral")</f>
        <v>44098</v>
      </c>
    </row>
    <row r="188" spans="1:8" ht="18" customHeight="1" x14ac:dyDescent="0.3">
      <c r="A188" s="71"/>
      <c r="B188" s="45" t="s">
        <v>235</v>
      </c>
      <c r="C188" s="45" t="s">
        <v>10</v>
      </c>
      <c r="D188" s="45" t="s">
        <v>8</v>
      </c>
      <c r="E188" s="46">
        <v>50</v>
      </c>
      <c r="F188" s="69">
        <v>44097</v>
      </c>
      <c r="G188" s="52">
        <f>IF(F188="","",MONTH(Tabela5[[#This Row],[DATA]]))</f>
        <v>9</v>
      </c>
      <c r="H188" s="73" t="str">
        <f>TEXT(Tabela5[[#This Row],[DATA]],"Geral")</f>
        <v>44097</v>
      </c>
    </row>
    <row r="189" spans="1:8" ht="18" customHeight="1" x14ac:dyDescent="0.3">
      <c r="A189" s="71"/>
      <c r="B189" s="47" t="s">
        <v>66</v>
      </c>
      <c r="C189" s="45" t="s">
        <v>13</v>
      </c>
      <c r="D189" s="45" t="s">
        <v>8</v>
      </c>
      <c r="E189" s="46">
        <v>1500</v>
      </c>
      <c r="F189" s="69">
        <v>44097</v>
      </c>
      <c r="G189" s="52">
        <f>IF(F189="","",MONTH(Tabela5[[#This Row],[DATA]]))</f>
        <v>9</v>
      </c>
      <c r="H189" s="73" t="str">
        <f>TEXT(Tabela5[[#This Row],[DATA]],"Geral")</f>
        <v>44097</v>
      </c>
    </row>
    <row r="190" spans="1:8" ht="18" customHeight="1" x14ac:dyDescent="0.3">
      <c r="A190" s="71"/>
      <c r="B190" s="45" t="s">
        <v>161</v>
      </c>
      <c r="C190" s="45" t="s">
        <v>10</v>
      </c>
      <c r="D190" s="45" t="s">
        <v>8</v>
      </c>
      <c r="E190" s="46">
        <v>200</v>
      </c>
      <c r="F190" s="69">
        <v>44096</v>
      </c>
      <c r="G190" s="52">
        <f>IF(F190="","",MONTH(Tabela5[[#This Row],[DATA]]))</f>
        <v>9</v>
      </c>
      <c r="H190" s="73" t="str">
        <f>TEXT(Tabela5[[#This Row],[DATA]],"Geral")</f>
        <v>44096</v>
      </c>
    </row>
    <row r="191" spans="1:8" ht="18" customHeight="1" x14ac:dyDescent="0.3">
      <c r="A191" s="71"/>
      <c r="B191" s="47" t="s">
        <v>65</v>
      </c>
      <c r="C191" s="45" t="s">
        <v>10</v>
      </c>
      <c r="D191" s="45" t="s">
        <v>8</v>
      </c>
      <c r="E191" s="46">
        <v>200</v>
      </c>
      <c r="F191" s="69">
        <v>44096</v>
      </c>
      <c r="G191" s="52">
        <f>IF(F191="","",MONTH(Tabela5[[#This Row],[DATA]]))</f>
        <v>9</v>
      </c>
      <c r="H191" s="73" t="str">
        <f>TEXT(Tabela5[[#This Row],[DATA]],"Geral")</f>
        <v>44096</v>
      </c>
    </row>
    <row r="192" spans="1:8" ht="18" customHeight="1" x14ac:dyDescent="0.3">
      <c r="A192" s="71"/>
      <c r="B192" s="47" t="s">
        <v>64</v>
      </c>
      <c r="C192" s="45" t="s">
        <v>10</v>
      </c>
      <c r="D192" s="45" t="s">
        <v>8</v>
      </c>
      <c r="E192" s="46">
        <v>200</v>
      </c>
      <c r="F192" s="69">
        <v>44096</v>
      </c>
      <c r="G192" s="52">
        <f>IF(F192="","",MONTH(Tabela5[[#This Row],[DATA]]))</f>
        <v>9</v>
      </c>
      <c r="H192" s="73" t="str">
        <f>TEXT(Tabela5[[#This Row],[DATA]],"Geral")</f>
        <v>44096</v>
      </c>
    </row>
    <row r="193" spans="1:8" ht="18" customHeight="1" x14ac:dyDescent="0.3">
      <c r="A193" s="71"/>
      <c r="B193" s="47" t="s">
        <v>63</v>
      </c>
      <c r="C193" s="45" t="s">
        <v>13</v>
      </c>
      <c r="D193" s="45" t="s">
        <v>8</v>
      </c>
      <c r="E193" s="46">
        <v>2000</v>
      </c>
      <c r="F193" s="69">
        <v>44096</v>
      </c>
      <c r="G193" s="52">
        <f>IF(F193="","",MONTH(Tabela5[[#This Row],[DATA]]))</f>
        <v>9</v>
      </c>
      <c r="H193" s="73" t="str">
        <f>TEXT(Tabela5[[#This Row],[DATA]],"Geral")</f>
        <v>44096</v>
      </c>
    </row>
    <row r="194" spans="1:8" ht="18" customHeight="1" x14ac:dyDescent="0.3">
      <c r="A194" s="71"/>
      <c r="B194" s="47" t="s">
        <v>62</v>
      </c>
      <c r="C194" s="45" t="s">
        <v>79</v>
      </c>
      <c r="D194" s="45" t="s">
        <v>8</v>
      </c>
      <c r="E194" s="46">
        <v>29.4</v>
      </c>
      <c r="F194" s="69">
        <v>44096</v>
      </c>
      <c r="G194" s="52">
        <f>IF(F194="","",MONTH(Tabela5[[#This Row],[DATA]]))</f>
        <v>9</v>
      </c>
      <c r="H194" s="73" t="str">
        <f>TEXT(Tabela5[[#This Row],[DATA]],"Geral")</f>
        <v>44096</v>
      </c>
    </row>
    <row r="195" spans="1:8" ht="18" customHeight="1" x14ac:dyDescent="0.3">
      <c r="A195" s="71"/>
      <c r="B195" s="48" t="s">
        <v>60</v>
      </c>
      <c r="C195" s="45" t="s">
        <v>10</v>
      </c>
      <c r="D195" s="45" t="s">
        <v>2</v>
      </c>
      <c r="E195" s="46">
        <v>100</v>
      </c>
      <c r="F195" s="69">
        <v>44096</v>
      </c>
      <c r="G195" s="52">
        <f>IF(F195="","",MONTH(Tabela5[[#This Row],[DATA]]))</f>
        <v>9</v>
      </c>
      <c r="H195" s="73" t="str">
        <f>TEXT(Tabela5[[#This Row],[DATA]],"Geral")</f>
        <v>44096</v>
      </c>
    </row>
    <row r="196" spans="1:8" ht="18" customHeight="1" x14ac:dyDescent="0.3">
      <c r="A196" s="71"/>
      <c r="B196" s="45" t="s">
        <v>221</v>
      </c>
      <c r="C196" s="45" t="s">
        <v>10</v>
      </c>
      <c r="D196" s="45" t="s">
        <v>8</v>
      </c>
      <c r="E196" s="46">
        <v>200</v>
      </c>
      <c r="F196" s="69">
        <v>44095</v>
      </c>
      <c r="G196" s="52">
        <f>IF(F196="","",MONTH(Tabela5[[#This Row],[DATA]]))</f>
        <v>9</v>
      </c>
      <c r="H196" s="73" t="str">
        <f>TEXT(Tabela5[[#This Row],[DATA]],"Geral")</f>
        <v>44095</v>
      </c>
    </row>
    <row r="197" spans="1:8" ht="18" customHeight="1" x14ac:dyDescent="0.3">
      <c r="A197" s="71"/>
      <c r="B197" s="48" t="s">
        <v>61</v>
      </c>
      <c r="C197" s="45" t="s">
        <v>10</v>
      </c>
      <c r="D197" s="45" t="s">
        <v>8</v>
      </c>
      <c r="E197" s="46">
        <v>200</v>
      </c>
      <c r="F197" s="69">
        <v>44095</v>
      </c>
      <c r="G197" s="52">
        <f>IF(F197="","",MONTH(Tabela5[[#This Row],[DATA]]))</f>
        <v>9</v>
      </c>
      <c r="H197" s="73" t="str">
        <f>TEXT(Tabela5[[#This Row],[DATA]],"Geral")</f>
        <v>44095</v>
      </c>
    </row>
    <row r="198" spans="1:8" ht="18" customHeight="1" x14ac:dyDescent="0.3">
      <c r="A198" s="71"/>
      <c r="B198" s="48" t="s">
        <v>60</v>
      </c>
      <c r="C198" s="45" t="s">
        <v>13</v>
      </c>
      <c r="D198" s="45" t="s">
        <v>8</v>
      </c>
      <c r="E198" s="46">
        <v>1900</v>
      </c>
      <c r="F198" s="69">
        <v>44095</v>
      </c>
      <c r="G198" s="52">
        <f>IF(F198="","",MONTH(Tabela5[[#This Row],[DATA]]))</f>
        <v>9</v>
      </c>
      <c r="H198" s="73" t="str">
        <f>TEXT(Tabela5[[#This Row],[DATA]],"Geral")</f>
        <v>44095</v>
      </c>
    </row>
    <row r="199" spans="1:8" ht="18" customHeight="1" x14ac:dyDescent="0.3">
      <c r="A199" s="71"/>
      <c r="B199" s="48" t="s">
        <v>59</v>
      </c>
      <c r="C199" s="45" t="s">
        <v>13</v>
      </c>
      <c r="D199" s="45" t="s">
        <v>8</v>
      </c>
      <c r="E199" s="46">
        <v>250</v>
      </c>
      <c r="F199" s="69">
        <v>44092</v>
      </c>
      <c r="G199" s="52">
        <f>IF(F199="","",MONTH(Tabela5[[#This Row],[DATA]]))</f>
        <v>9</v>
      </c>
      <c r="H199" s="73" t="str">
        <f>TEXT(Tabela5[[#This Row],[DATA]],"Geral")</f>
        <v>44092</v>
      </c>
    </row>
    <row r="200" spans="1:8" ht="18" customHeight="1" x14ac:dyDescent="0.3">
      <c r="A200" s="71"/>
      <c r="B200" s="48" t="s">
        <v>58</v>
      </c>
      <c r="C200" s="45" t="s">
        <v>13</v>
      </c>
      <c r="D200" s="45" t="s">
        <v>8</v>
      </c>
      <c r="E200" s="46">
        <v>500</v>
      </c>
      <c r="F200" s="69">
        <v>44091</v>
      </c>
      <c r="G200" s="52">
        <f>IF(F200="","",MONTH(Tabela5[[#This Row],[DATA]]))</f>
        <v>9</v>
      </c>
      <c r="H200" s="73" t="str">
        <f>TEXT(Tabela5[[#This Row],[DATA]],"Geral")</f>
        <v>44091</v>
      </c>
    </row>
    <row r="201" spans="1:8" ht="18" customHeight="1" x14ac:dyDescent="0.3">
      <c r="A201" s="71"/>
      <c r="B201" s="48" t="s">
        <v>58</v>
      </c>
      <c r="C201" s="45" t="s">
        <v>13</v>
      </c>
      <c r="D201" s="45" t="s">
        <v>8</v>
      </c>
      <c r="E201" s="46">
        <v>1000</v>
      </c>
      <c r="F201" s="69">
        <v>44091</v>
      </c>
      <c r="G201" s="52">
        <f>IF(F201="","",MONTH(Tabela5[[#This Row],[DATA]]))</f>
        <v>9</v>
      </c>
      <c r="H201" s="73" t="str">
        <f>TEXT(Tabela5[[#This Row],[DATA]],"Geral")</f>
        <v>44091</v>
      </c>
    </row>
    <row r="202" spans="1:8" ht="18" customHeight="1" x14ac:dyDescent="0.3">
      <c r="A202" s="71"/>
      <c r="B202" s="48" t="s">
        <v>56</v>
      </c>
      <c r="C202" s="45" t="s">
        <v>10</v>
      </c>
      <c r="D202" s="45" t="s">
        <v>8</v>
      </c>
      <c r="E202" s="46">
        <v>50</v>
      </c>
      <c r="F202" s="69">
        <v>44091</v>
      </c>
      <c r="G202" s="52">
        <f>IF(F202="","",MONTH(Tabela5[[#This Row],[DATA]]))</f>
        <v>9</v>
      </c>
      <c r="H202" s="73" t="str">
        <f>TEXT(Tabela5[[#This Row],[DATA]],"Geral")</f>
        <v>44091</v>
      </c>
    </row>
    <row r="203" spans="1:8" ht="18" customHeight="1" x14ac:dyDescent="0.3">
      <c r="A203" s="71"/>
      <c r="B203" s="48" t="s">
        <v>57</v>
      </c>
      <c r="C203" s="45" t="s">
        <v>10</v>
      </c>
      <c r="D203" s="45" t="s">
        <v>8</v>
      </c>
      <c r="E203" s="46">
        <v>100</v>
      </c>
      <c r="F203" s="69">
        <v>44091</v>
      </c>
      <c r="G203" s="52">
        <f>IF(F203="","",MONTH(Tabela5[[#This Row],[DATA]]))</f>
        <v>9</v>
      </c>
      <c r="H203" s="73" t="str">
        <f>TEXT(Tabela5[[#This Row],[DATA]],"Geral")</f>
        <v>44091</v>
      </c>
    </row>
    <row r="204" spans="1:8" ht="18" customHeight="1" x14ac:dyDescent="0.3">
      <c r="A204" s="71"/>
      <c r="B204" s="45" t="s">
        <v>223</v>
      </c>
      <c r="C204" s="45" t="s">
        <v>10</v>
      </c>
      <c r="D204" s="45" t="s">
        <v>8</v>
      </c>
      <c r="E204" s="46">
        <v>50</v>
      </c>
      <c r="F204" s="69">
        <v>44091</v>
      </c>
      <c r="G204" s="52">
        <f>IF(F204="","",MONTH(Tabela5[[#This Row],[DATA]]))</f>
        <v>9</v>
      </c>
      <c r="H204" s="73" t="str">
        <f>TEXT(Tabela5[[#This Row],[DATA]],"Geral")</f>
        <v>44091</v>
      </c>
    </row>
    <row r="205" spans="1:8" ht="18" customHeight="1" x14ac:dyDescent="0.3">
      <c r="A205" s="71"/>
      <c r="B205" s="45" t="s">
        <v>223</v>
      </c>
      <c r="C205" s="45" t="s">
        <v>10</v>
      </c>
      <c r="D205" s="45" t="s">
        <v>8</v>
      </c>
      <c r="E205" s="46">
        <v>50</v>
      </c>
      <c r="F205" s="69">
        <v>44091</v>
      </c>
      <c r="G205" s="52">
        <f>IF(F205="","",MONTH(Tabela5[[#This Row],[DATA]]))</f>
        <v>9</v>
      </c>
      <c r="H205" s="73" t="str">
        <f>TEXT(Tabela5[[#This Row],[DATA]],"Geral")</f>
        <v>44091</v>
      </c>
    </row>
    <row r="206" spans="1:8" ht="18" customHeight="1" x14ac:dyDescent="0.3">
      <c r="A206" s="71"/>
      <c r="B206" s="48" t="s">
        <v>55</v>
      </c>
      <c r="C206" s="45" t="s">
        <v>10</v>
      </c>
      <c r="D206" s="45" t="s">
        <v>8</v>
      </c>
      <c r="E206" s="46">
        <v>588.05999999999995</v>
      </c>
      <c r="F206" s="69">
        <v>44090</v>
      </c>
      <c r="G206" s="52">
        <f>IF(F206="","",MONTH(Tabela5[[#This Row],[DATA]]))</f>
        <v>9</v>
      </c>
      <c r="H206" s="73" t="str">
        <f>TEXT(Tabela5[[#This Row],[DATA]],"Geral")</f>
        <v>44090</v>
      </c>
    </row>
    <row r="207" spans="1:8" ht="18" customHeight="1" x14ac:dyDescent="0.3">
      <c r="A207" s="71"/>
      <c r="B207" s="48" t="s">
        <v>56</v>
      </c>
      <c r="C207" s="45" t="s">
        <v>10</v>
      </c>
      <c r="D207" s="45" t="s">
        <v>8</v>
      </c>
      <c r="E207" s="46">
        <v>50</v>
      </c>
      <c r="F207" s="69">
        <v>44090</v>
      </c>
      <c r="G207" s="52">
        <f>IF(F207="","",MONTH(Tabela5[[#This Row],[DATA]]))</f>
        <v>9</v>
      </c>
      <c r="H207" s="73" t="str">
        <f>TEXT(Tabela5[[#This Row],[DATA]],"Geral")</f>
        <v>44090</v>
      </c>
    </row>
    <row r="208" spans="1:8" ht="18" customHeight="1" x14ac:dyDescent="0.3">
      <c r="A208" s="71"/>
      <c r="B208" s="48" t="s">
        <v>55</v>
      </c>
      <c r="C208" s="45" t="s">
        <v>13</v>
      </c>
      <c r="D208" s="45" t="s">
        <v>2</v>
      </c>
      <c r="E208" s="46">
        <v>1700</v>
      </c>
      <c r="F208" s="69">
        <v>44090</v>
      </c>
      <c r="G208" s="52">
        <f>IF(F208="","",MONTH(Tabela5[[#This Row],[DATA]]))</f>
        <v>9</v>
      </c>
      <c r="H208" s="73" t="str">
        <f>TEXT(Tabela5[[#This Row],[DATA]],"Geral")</f>
        <v>44090</v>
      </c>
    </row>
    <row r="209" spans="1:8" ht="18" customHeight="1" x14ac:dyDescent="0.3">
      <c r="A209" s="71"/>
      <c r="B209" s="48" t="s">
        <v>54</v>
      </c>
      <c r="C209" s="45" t="s">
        <v>13</v>
      </c>
      <c r="D209" s="45" t="s">
        <v>8</v>
      </c>
      <c r="E209" s="46">
        <v>200</v>
      </c>
      <c r="F209" s="69">
        <v>44089</v>
      </c>
      <c r="G209" s="52">
        <f>IF(F209="","",MONTH(Tabela5[[#This Row],[DATA]]))</f>
        <v>9</v>
      </c>
      <c r="H209" s="73" t="str">
        <f>TEXT(Tabela5[[#This Row],[DATA]],"Geral")</f>
        <v>44089</v>
      </c>
    </row>
    <row r="210" spans="1:8" ht="18" customHeight="1" x14ac:dyDescent="0.3">
      <c r="A210" s="71"/>
      <c r="B210" s="47" t="s">
        <v>54</v>
      </c>
      <c r="C210" s="45" t="s">
        <v>13</v>
      </c>
      <c r="D210" s="45" t="s">
        <v>2</v>
      </c>
      <c r="E210" s="46">
        <v>1200</v>
      </c>
      <c r="F210" s="69">
        <v>44089</v>
      </c>
      <c r="G210" s="52">
        <f>IF(F210="","",MONTH(Tabela5[[#This Row],[DATA]]))</f>
        <v>9</v>
      </c>
      <c r="H210" s="73" t="str">
        <f>TEXT(Tabela5[[#This Row],[DATA]],"Geral")</f>
        <v>44089</v>
      </c>
    </row>
    <row r="211" spans="1:8" ht="18" customHeight="1" x14ac:dyDescent="0.3">
      <c r="A211" s="71"/>
      <c r="B211" s="47" t="s">
        <v>69</v>
      </c>
      <c r="C211" s="45" t="s">
        <v>10</v>
      </c>
      <c r="D211" s="45" t="s">
        <v>8</v>
      </c>
      <c r="E211" s="46">
        <v>100</v>
      </c>
      <c r="F211" s="69">
        <v>44088</v>
      </c>
      <c r="G211" s="52">
        <f>IF(F211="","",MONTH(Tabela5[[#This Row],[DATA]]))</f>
        <v>9</v>
      </c>
      <c r="H211" s="73" t="str">
        <f>TEXT(Tabela5[[#This Row],[DATA]],"Geral")</f>
        <v>44088</v>
      </c>
    </row>
    <row r="212" spans="1:8" ht="18" customHeight="1" x14ac:dyDescent="0.3">
      <c r="A212" s="71"/>
      <c r="B212" s="47" t="s">
        <v>53</v>
      </c>
      <c r="C212" s="45" t="s">
        <v>13</v>
      </c>
      <c r="D212" s="45" t="s">
        <v>8</v>
      </c>
      <c r="E212" s="46">
        <v>2300</v>
      </c>
      <c r="F212" s="69">
        <v>44085</v>
      </c>
      <c r="G212" s="52">
        <f>IF(F212="","",MONTH(Tabela5[[#This Row],[DATA]]))</f>
        <v>9</v>
      </c>
      <c r="H212" s="73" t="str">
        <f>TEXT(Tabela5[[#This Row],[DATA]],"Geral")</f>
        <v>44085</v>
      </c>
    </row>
    <row r="213" spans="1:8" ht="18" customHeight="1" x14ac:dyDescent="0.3">
      <c r="A213" s="71"/>
      <c r="B213" s="47" t="s">
        <v>52</v>
      </c>
      <c r="C213" s="45" t="s">
        <v>13</v>
      </c>
      <c r="D213" s="45" t="s">
        <v>8</v>
      </c>
      <c r="E213" s="46">
        <v>1400</v>
      </c>
      <c r="F213" s="69">
        <v>44084</v>
      </c>
      <c r="G213" s="52">
        <f>IF(F213="","",MONTH(Tabela5[[#This Row],[DATA]]))</f>
        <v>9</v>
      </c>
      <c r="H213" s="73" t="str">
        <f>TEXT(Tabela5[[#This Row],[DATA]],"Geral")</f>
        <v>44084</v>
      </c>
    </row>
    <row r="214" spans="1:8" ht="18" customHeight="1" x14ac:dyDescent="0.3">
      <c r="A214" s="71"/>
      <c r="B214" s="47" t="s">
        <v>51</v>
      </c>
      <c r="C214" s="45" t="s">
        <v>13</v>
      </c>
      <c r="D214" s="45" t="s">
        <v>8</v>
      </c>
      <c r="E214" s="46">
        <v>1900</v>
      </c>
      <c r="F214" s="69">
        <v>44083</v>
      </c>
      <c r="G214" s="52">
        <f>IF(F214="","",MONTH(Tabela5[[#This Row],[DATA]]))</f>
        <v>9</v>
      </c>
      <c r="H214" s="73" t="str">
        <f>TEXT(Tabela5[[#This Row],[DATA]],"Geral")</f>
        <v>44083</v>
      </c>
    </row>
    <row r="215" spans="1:8" ht="18" customHeight="1" x14ac:dyDescent="0.3">
      <c r="A215" s="71"/>
      <c r="B215" s="47" t="s">
        <v>123</v>
      </c>
      <c r="C215" s="45" t="s">
        <v>10</v>
      </c>
      <c r="D215" s="45" t="s">
        <v>8</v>
      </c>
      <c r="E215" s="46">
        <v>50</v>
      </c>
      <c r="F215" s="69">
        <v>44082</v>
      </c>
      <c r="G215" s="52">
        <f>IF(F215="","",MONTH(Tabela5[[#This Row],[DATA]]))</f>
        <v>9</v>
      </c>
      <c r="H215" s="73" t="str">
        <f>TEXT(Tabela5[[#This Row],[DATA]],"Geral")</f>
        <v>44082</v>
      </c>
    </row>
    <row r="216" spans="1:8" ht="18" customHeight="1" x14ac:dyDescent="0.3">
      <c r="A216" s="71"/>
      <c r="B216" s="47" t="s">
        <v>50</v>
      </c>
      <c r="C216" s="45" t="s">
        <v>10</v>
      </c>
      <c r="D216" s="45" t="s">
        <v>8</v>
      </c>
      <c r="E216" s="46">
        <v>200</v>
      </c>
      <c r="F216" s="69">
        <v>44082</v>
      </c>
      <c r="G216" s="52">
        <f>IF(F216="","",MONTH(Tabela5[[#This Row],[DATA]]))</f>
        <v>9</v>
      </c>
      <c r="H216" s="73" t="str">
        <f>TEXT(Tabela5[[#This Row],[DATA]],"Geral")</f>
        <v>44082</v>
      </c>
    </row>
    <row r="217" spans="1:8" ht="18" customHeight="1" x14ac:dyDescent="0.3">
      <c r="A217" s="71"/>
      <c r="B217" s="47" t="s">
        <v>49</v>
      </c>
      <c r="C217" s="45" t="s">
        <v>10</v>
      </c>
      <c r="D217" s="45" t="s">
        <v>2</v>
      </c>
      <c r="E217" s="46">
        <v>100</v>
      </c>
      <c r="F217" s="69">
        <v>44082</v>
      </c>
      <c r="G217" s="52">
        <f>IF(F217="","",MONTH(Tabela5[[#This Row],[DATA]]))</f>
        <v>9</v>
      </c>
      <c r="H217" s="73" t="str">
        <f>TEXT(Tabela5[[#This Row],[DATA]],"Geral")</f>
        <v>44082</v>
      </c>
    </row>
    <row r="218" spans="1:8" ht="18" customHeight="1" x14ac:dyDescent="0.3">
      <c r="A218" s="71"/>
      <c r="B218" s="47" t="s">
        <v>49</v>
      </c>
      <c r="C218" s="45" t="s">
        <v>13</v>
      </c>
      <c r="D218" s="45" t="s">
        <v>2</v>
      </c>
      <c r="E218" s="46">
        <v>1400</v>
      </c>
      <c r="F218" s="69">
        <v>44082</v>
      </c>
      <c r="G218" s="52">
        <f>IF(F218="","",MONTH(Tabela5[[#This Row],[DATA]]))</f>
        <v>9</v>
      </c>
      <c r="H218" s="73" t="str">
        <f>TEXT(Tabela5[[#This Row],[DATA]],"Geral")</f>
        <v>44082</v>
      </c>
    </row>
    <row r="219" spans="1:8" ht="18" customHeight="1" x14ac:dyDescent="0.3">
      <c r="A219" s="71"/>
      <c r="B219" s="47" t="s">
        <v>48</v>
      </c>
      <c r="C219" s="45" t="s">
        <v>13</v>
      </c>
      <c r="D219" s="45" t="s">
        <v>8</v>
      </c>
      <c r="E219" s="46">
        <v>1380</v>
      </c>
      <c r="F219" s="69">
        <v>44081</v>
      </c>
      <c r="G219" s="52">
        <f>IF(F219="","",MONTH(Tabela5[[#This Row],[DATA]]))</f>
        <v>9</v>
      </c>
      <c r="H219" s="73" t="str">
        <f>TEXT(Tabela5[[#This Row],[DATA]],"Geral")</f>
        <v>44081</v>
      </c>
    </row>
    <row r="220" spans="1:8" ht="18" customHeight="1" x14ac:dyDescent="0.3">
      <c r="A220" s="71"/>
      <c r="B220" s="47" t="s">
        <v>47</v>
      </c>
      <c r="C220" s="45" t="s">
        <v>10</v>
      </c>
      <c r="D220" s="45" t="s">
        <v>8</v>
      </c>
      <c r="E220" s="46">
        <v>200</v>
      </c>
      <c r="F220" s="69">
        <v>44078</v>
      </c>
      <c r="G220" s="52">
        <f>IF(F220="","",MONTH(Tabela5[[#This Row],[DATA]]))</f>
        <v>9</v>
      </c>
      <c r="H220" s="73" t="str">
        <f>TEXT(Tabela5[[#This Row],[DATA]],"Geral")</f>
        <v>44078</v>
      </c>
    </row>
    <row r="221" spans="1:8" ht="18" customHeight="1" x14ac:dyDescent="0.3">
      <c r="A221" s="71"/>
      <c r="B221" s="47" t="s">
        <v>45</v>
      </c>
      <c r="C221" s="45" t="s">
        <v>13</v>
      </c>
      <c r="D221" s="45" t="s">
        <v>2</v>
      </c>
      <c r="E221" s="46">
        <v>200</v>
      </c>
      <c r="F221" s="69">
        <v>44078</v>
      </c>
      <c r="G221" s="52">
        <f>IF(F221="","",MONTH(Tabela5[[#This Row],[DATA]]))</f>
        <v>9</v>
      </c>
      <c r="H221" s="73" t="str">
        <f>TEXT(Tabela5[[#This Row],[DATA]],"Geral")</f>
        <v>44078</v>
      </c>
    </row>
    <row r="222" spans="1:8" ht="18" customHeight="1" x14ac:dyDescent="0.3">
      <c r="A222" s="71"/>
      <c r="B222" s="47" t="s">
        <v>46</v>
      </c>
      <c r="C222" s="45" t="s">
        <v>79</v>
      </c>
      <c r="D222" s="45" t="s">
        <v>8</v>
      </c>
      <c r="E222" s="46">
        <v>77.040000000000006</v>
      </c>
      <c r="F222" s="69">
        <v>44077</v>
      </c>
      <c r="G222" s="52">
        <f>IF(F222="","",MONTH(Tabela5[[#This Row],[DATA]]))</f>
        <v>9</v>
      </c>
      <c r="H222" s="73" t="str">
        <f>TEXT(Tabela5[[#This Row],[DATA]],"Geral")</f>
        <v>44077</v>
      </c>
    </row>
    <row r="223" spans="1:8" ht="18" customHeight="1" x14ac:dyDescent="0.3">
      <c r="A223" s="71"/>
      <c r="B223" s="47" t="s">
        <v>42</v>
      </c>
      <c r="C223" s="45" t="s">
        <v>13</v>
      </c>
      <c r="D223" s="45" t="s">
        <v>2</v>
      </c>
      <c r="E223" s="46">
        <v>900</v>
      </c>
      <c r="F223" s="69">
        <v>44077</v>
      </c>
      <c r="G223" s="52">
        <f>IF(F223="","",MONTH(Tabela5[[#This Row],[DATA]]))</f>
        <v>9</v>
      </c>
      <c r="H223" s="73" t="str">
        <f>TEXT(Tabela5[[#This Row],[DATA]],"Geral")</f>
        <v>44077</v>
      </c>
    </row>
    <row r="224" spans="1:8" ht="18" customHeight="1" x14ac:dyDescent="0.3">
      <c r="A224" s="71"/>
      <c r="B224" s="49" t="s">
        <v>41</v>
      </c>
      <c r="C224" s="45" t="s">
        <v>13</v>
      </c>
      <c r="D224" s="45" t="s">
        <v>8</v>
      </c>
      <c r="E224" s="46">
        <v>1200</v>
      </c>
      <c r="F224" s="69">
        <v>44077</v>
      </c>
      <c r="G224" s="52">
        <f>IF(F224="","",MONTH(Tabela5[[#This Row],[DATA]]))</f>
        <v>9</v>
      </c>
      <c r="H224" s="73" t="str">
        <f>TEXT(Tabela5[[#This Row],[DATA]],"Geral")</f>
        <v>44077</v>
      </c>
    </row>
    <row r="225" spans="1:8" ht="18" customHeight="1" x14ac:dyDescent="0.3">
      <c r="A225" s="71"/>
      <c r="B225" s="49" t="s">
        <v>40</v>
      </c>
      <c r="C225" s="45" t="s">
        <v>13</v>
      </c>
      <c r="D225" s="45" t="s">
        <v>2</v>
      </c>
      <c r="E225" s="46">
        <v>650</v>
      </c>
      <c r="F225" s="69">
        <v>44076</v>
      </c>
      <c r="G225" s="52">
        <f>IF(F225="","",MONTH(Tabela5[[#This Row],[DATA]]))</f>
        <v>9</v>
      </c>
      <c r="H225" s="73" t="str">
        <f>TEXT(Tabela5[[#This Row],[DATA]],"Geral")</f>
        <v>44076</v>
      </c>
    </row>
    <row r="226" spans="1:8" ht="18" customHeight="1" x14ac:dyDescent="0.3">
      <c r="A226" s="71"/>
      <c r="B226" s="47" t="s">
        <v>90</v>
      </c>
      <c r="C226" s="45" t="s">
        <v>10</v>
      </c>
      <c r="D226" s="45" t="s">
        <v>2</v>
      </c>
      <c r="E226" s="46">
        <v>200</v>
      </c>
      <c r="F226" s="69">
        <v>44076</v>
      </c>
      <c r="G226" s="52">
        <f>IF(F226="","",MONTH(Tabela5[[#This Row],[DATA]]))</f>
        <v>9</v>
      </c>
      <c r="H226" s="73" t="str">
        <f>TEXT(Tabela5[[#This Row],[DATA]],"Geral")</f>
        <v>44076</v>
      </c>
    </row>
    <row r="227" spans="1:8" ht="18" customHeight="1" x14ac:dyDescent="0.3">
      <c r="A227" s="71"/>
      <c r="B227" s="49" t="s">
        <v>39</v>
      </c>
      <c r="C227" s="45" t="s">
        <v>13</v>
      </c>
      <c r="D227" s="45" t="s">
        <v>2</v>
      </c>
      <c r="E227" s="46">
        <v>1000</v>
      </c>
      <c r="F227" s="69">
        <v>44076</v>
      </c>
      <c r="G227" s="52">
        <f>IF(F227="","",MONTH(Tabela5[[#This Row],[DATA]]))</f>
        <v>9</v>
      </c>
      <c r="H227" s="73" t="str">
        <f>TEXT(Tabela5[[#This Row],[DATA]],"Geral")</f>
        <v>44076</v>
      </c>
    </row>
    <row r="228" spans="1:8" ht="18" customHeight="1" x14ac:dyDescent="0.3">
      <c r="A228" s="71"/>
      <c r="B228" s="49" t="s">
        <v>42</v>
      </c>
      <c r="C228" s="45" t="s">
        <v>10</v>
      </c>
      <c r="D228" s="45" t="s">
        <v>8</v>
      </c>
      <c r="E228" s="46">
        <v>100</v>
      </c>
      <c r="F228" s="69">
        <v>44075</v>
      </c>
      <c r="G228" s="52">
        <f>IF(F228="","",MONTH(Tabela5[[#This Row],[DATA]]))</f>
        <v>9</v>
      </c>
      <c r="H228" s="73" t="str">
        <f>TEXT(Tabela5[[#This Row],[DATA]],"Geral")</f>
        <v>44075</v>
      </c>
    </row>
    <row r="229" spans="1:8" ht="18" customHeight="1" x14ac:dyDescent="0.3">
      <c r="A229" s="71"/>
      <c r="B229" s="45" t="s">
        <v>15</v>
      </c>
      <c r="C229" s="45" t="s">
        <v>10</v>
      </c>
      <c r="D229" s="45" t="s">
        <v>8</v>
      </c>
      <c r="E229" s="46">
        <v>90</v>
      </c>
      <c r="F229" s="69">
        <v>44074</v>
      </c>
      <c r="G229" s="52">
        <f>IF(F229="","",MONTH(Tabela5[[#This Row],[DATA]]))</f>
        <v>8</v>
      </c>
      <c r="H229" s="73" t="str">
        <f>TEXT(Tabela5[[#This Row],[DATA]],"Geral")</f>
        <v>44074</v>
      </c>
    </row>
    <row r="230" spans="1:8" ht="18" customHeight="1" x14ac:dyDescent="0.3">
      <c r="A230" s="71"/>
      <c r="B230" s="45" t="s">
        <v>15</v>
      </c>
      <c r="C230" s="45" t="s">
        <v>13</v>
      </c>
      <c r="D230" s="45" t="s">
        <v>8</v>
      </c>
      <c r="E230" s="46">
        <v>1400</v>
      </c>
      <c r="F230" s="69">
        <v>44074</v>
      </c>
      <c r="G230" s="52">
        <f>IF(F230="","",MONTH(Tabela5[[#This Row],[DATA]]))</f>
        <v>8</v>
      </c>
      <c r="H230" s="73" t="str">
        <f>TEXT(Tabela5[[#This Row],[DATA]],"Geral")</f>
        <v>44074</v>
      </c>
    </row>
    <row r="231" spans="1:8" ht="18" customHeight="1" x14ac:dyDescent="0.3">
      <c r="A231" s="71"/>
      <c r="B231" s="45" t="s">
        <v>9</v>
      </c>
      <c r="C231" s="45" t="s">
        <v>10</v>
      </c>
      <c r="D231" s="45" t="s">
        <v>8</v>
      </c>
      <c r="E231" s="46">
        <v>100</v>
      </c>
      <c r="F231" s="69">
        <v>44071</v>
      </c>
      <c r="G231" s="52">
        <f>IF(F231="","",MONTH(Tabela5[[#This Row],[DATA]]))</f>
        <v>8</v>
      </c>
      <c r="H231" s="73" t="str">
        <f>TEXT(Tabela5[[#This Row],[DATA]],"Geral")</f>
        <v>44071</v>
      </c>
    </row>
    <row r="232" spans="1:8" ht="18" customHeight="1" x14ac:dyDescent="0.3">
      <c r="A232" s="71"/>
      <c r="B232" s="45" t="s">
        <v>44</v>
      </c>
      <c r="C232" s="45" t="s">
        <v>13</v>
      </c>
      <c r="D232" s="45" t="s">
        <v>2</v>
      </c>
      <c r="E232" s="46">
        <v>1600</v>
      </c>
      <c r="F232" s="69">
        <v>44070</v>
      </c>
      <c r="G232" s="52">
        <f>IF(F232="","",MONTH(Tabela5[[#This Row],[DATA]]))</f>
        <v>8</v>
      </c>
      <c r="H232" s="73" t="str">
        <f>TEXT(Tabela5[[#This Row],[DATA]],"Geral")</f>
        <v>44070</v>
      </c>
    </row>
    <row r="233" spans="1:8" ht="18" customHeight="1" x14ac:dyDescent="0.3">
      <c r="A233" s="72"/>
      <c r="B233" s="50" t="s">
        <v>12</v>
      </c>
      <c r="C233" s="50" t="s">
        <v>13</v>
      </c>
      <c r="D233" s="50" t="s">
        <v>8</v>
      </c>
      <c r="E233" s="51">
        <v>1100</v>
      </c>
      <c r="F233" s="70">
        <v>44069</v>
      </c>
      <c r="G233" s="109">
        <f>IF(F233="","",MONTH(Tabela5[[#This Row],[DATA]]))</f>
        <v>8</v>
      </c>
      <c r="H233" s="73" t="str">
        <f>TEXT(Tabela5[[#This Row],[DATA]],"Geral")</f>
        <v>44069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41FC6-894C-4152-892C-F5E9AFECEF41}">
  <sheetPr codeName="Planilha9"/>
  <dimension ref="A1:I11"/>
  <sheetViews>
    <sheetView showGridLines="0" showRowColHeaders="0" zoomScale="150" zoomScaleNormal="150" workbookViewId="0">
      <pane ySplit="1" topLeftCell="A2" activePane="bottomLeft" state="frozen"/>
      <selection activeCell="E2" sqref="E2"/>
      <selection pane="bottomLeft" activeCell="B10" sqref="B10"/>
    </sheetView>
  </sheetViews>
  <sheetFormatPr defaultColWidth="0" defaultRowHeight="0" customHeight="1" zeroHeight="1" x14ac:dyDescent="0.3"/>
  <cols>
    <col min="1" max="1" width="16.88671875" style="115" bestFit="1" customWidth="1"/>
    <col min="2" max="2" width="49.44140625" style="113" customWidth="1"/>
    <col min="3" max="3" width="23.33203125" style="113" customWidth="1"/>
    <col min="4" max="4" width="15" style="113" customWidth="1"/>
    <col min="5" max="5" width="14.44140625" style="113" customWidth="1"/>
    <col min="6" max="6" width="10.5546875" style="116" customWidth="1"/>
    <col min="7" max="7" width="9.44140625" style="117" customWidth="1"/>
    <col min="8" max="8" width="8.88671875" style="113" customWidth="1"/>
    <col min="9" max="9" width="0" style="113" hidden="1" customWidth="1"/>
    <col min="10" max="16384" width="8.88671875" style="113" hidden="1"/>
  </cols>
  <sheetData>
    <row r="1" spans="1:8" s="108" customFormat="1" ht="45" customHeight="1" x14ac:dyDescent="0.3">
      <c r="A1" s="180"/>
      <c r="B1" s="180"/>
      <c r="C1" s="180"/>
      <c r="D1" s="180"/>
      <c r="E1" s="40"/>
      <c r="F1" s="43"/>
      <c r="G1" s="44"/>
      <c r="H1" s="43"/>
    </row>
    <row r="2" spans="1:8" ht="18" customHeight="1" thickBot="1" x14ac:dyDescent="0.35">
      <c r="A2" s="64"/>
      <c r="B2" s="64"/>
      <c r="C2" s="64"/>
      <c r="D2" s="64"/>
      <c r="E2" s="64"/>
      <c r="F2" s="64"/>
      <c r="G2" s="63"/>
      <c r="H2" s="64"/>
    </row>
    <row r="3" spans="1:8" ht="18" customHeight="1" thickBot="1" x14ac:dyDescent="0.35">
      <c r="A3" s="57" t="s">
        <v>122</v>
      </c>
      <c r="B3" s="58">
        <f>SUM(Tabela37[VALOR])</f>
        <v>3063.01</v>
      </c>
      <c r="C3" s="64"/>
      <c r="D3" s="64"/>
      <c r="E3" s="64"/>
      <c r="F3" s="64"/>
      <c r="G3" s="63"/>
      <c r="H3" s="64"/>
    </row>
    <row r="4" spans="1:8" ht="14.4" x14ac:dyDescent="0.3">
      <c r="A4" s="64"/>
      <c r="B4" s="64"/>
      <c r="C4" s="64"/>
      <c r="D4" s="64"/>
      <c r="E4" s="64"/>
      <c r="F4" s="64"/>
      <c r="G4" s="63"/>
      <c r="H4" s="64"/>
    </row>
    <row r="5" spans="1:8" ht="22.8" x14ac:dyDescent="0.4">
      <c r="A5" s="66" t="s">
        <v>0</v>
      </c>
      <c r="B5" s="54" t="s">
        <v>3</v>
      </c>
      <c r="C5" s="54" t="s">
        <v>5</v>
      </c>
      <c r="D5" s="54" t="s">
        <v>4</v>
      </c>
      <c r="E5" s="54" t="s">
        <v>6</v>
      </c>
      <c r="F5" s="65" t="s">
        <v>7</v>
      </c>
      <c r="G5" s="62" t="s">
        <v>105</v>
      </c>
      <c r="H5" s="76" t="s">
        <v>124</v>
      </c>
    </row>
    <row r="6" spans="1:8" ht="18" customHeight="1" x14ac:dyDescent="0.3">
      <c r="A6" s="71"/>
      <c r="B6" s="61"/>
      <c r="C6" s="61"/>
      <c r="D6" s="59"/>
      <c r="E6" s="46"/>
      <c r="F6" s="69"/>
      <c r="G6" s="52" t="str">
        <f>IF(F6="","",MONTH(Tabela5[[#This Row],[DATA]]))</f>
        <v/>
      </c>
      <c r="H6" s="75"/>
    </row>
    <row r="7" spans="1:8" ht="18" customHeight="1" x14ac:dyDescent="0.3">
      <c r="A7" s="71"/>
      <c r="B7" s="61"/>
      <c r="C7" s="61"/>
      <c r="D7" s="59"/>
      <c r="E7" s="46"/>
      <c r="F7" s="69"/>
      <c r="G7" s="52" t="str">
        <f>IF(F7="","",MONTH(Tabela5[[#This Row],[DATA]]))</f>
        <v/>
      </c>
      <c r="H7" s="75"/>
    </row>
    <row r="8" spans="1:8" ht="18" customHeight="1" x14ac:dyDescent="0.3">
      <c r="A8" s="71"/>
      <c r="B8" s="61" t="s">
        <v>76</v>
      </c>
      <c r="C8" s="61" t="s">
        <v>70</v>
      </c>
      <c r="D8" s="59" t="s">
        <v>2</v>
      </c>
      <c r="E8" s="46">
        <v>1500</v>
      </c>
      <c r="F8" s="69">
        <v>44099</v>
      </c>
      <c r="G8" s="60">
        <f>IF(F8="","",MONTH(Tabela5[[#This Row],[DATA]]))</f>
        <v>2</v>
      </c>
      <c r="H8" s="75" t="str">
        <f>TEXT(Tabela37[[#This Row],[DATA]],"Geral")</f>
        <v>44099</v>
      </c>
    </row>
    <row r="9" spans="1:8" ht="18" customHeight="1" x14ac:dyDescent="0.3">
      <c r="A9" s="71"/>
      <c r="B9" s="61" t="s">
        <v>31</v>
      </c>
      <c r="C9" s="61" t="s">
        <v>75</v>
      </c>
      <c r="D9" s="59" t="s">
        <v>2</v>
      </c>
      <c r="E9" s="46">
        <v>1300</v>
      </c>
      <c r="F9" s="69">
        <v>44099</v>
      </c>
      <c r="G9" s="60">
        <f>IF(F9="","",MONTH(Tabela5[[#This Row],[DATA]]))</f>
        <v>2</v>
      </c>
      <c r="H9" s="75" t="str">
        <f>TEXT(Tabela37[[#This Row],[DATA]],"Geral")</f>
        <v>44099</v>
      </c>
    </row>
    <row r="10" spans="1:8" ht="18" customHeight="1" x14ac:dyDescent="0.3">
      <c r="A10" s="71"/>
      <c r="B10" s="61" t="s">
        <v>71</v>
      </c>
      <c r="C10" s="61" t="s">
        <v>70</v>
      </c>
      <c r="D10" s="59" t="s">
        <v>2</v>
      </c>
      <c r="E10" s="46">
        <v>100</v>
      </c>
      <c r="F10" s="69">
        <v>44097</v>
      </c>
      <c r="G10" s="60">
        <f>IF(F10="","",MONTH(Tabela5[[#This Row],[DATA]]))</f>
        <v>2</v>
      </c>
      <c r="H10" s="75" t="str">
        <f>TEXT(Tabela37[[#This Row],[DATA]],"Geral")</f>
        <v>44097</v>
      </c>
    </row>
    <row r="11" spans="1:8" ht="18" customHeight="1" x14ac:dyDescent="0.3">
      <c r="A11" s="72"/>
      <c r="B11" s="61" t="s">
        <v>43</v>
      </c>
      <c r="C11" s="61" t="s">
        <v>77</v>
      </c>
      <c r="D11" s="61" t="s">
        <v>8</v>
      </c>
      <c r="E11" s="51">
        <v>163.01</v>
      </c>
      <c r="F11" s="70">
        <v>44077</v>
      </c>
      <c r="G11" s="114">
        <f>IF(F11="","",MONTH(Tabela5[[#This Row],[DATA]]))</f>
        <v>2</v>
      </c>
      <c r="H11" s="75" t="str">
        <f>TEXT(Tabela37[[#This Row],[DATA]],"Geral")</f>
        <v>44077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76D7B-6FC2-42CA-97E0-38DCD3CE047E}">
  <sheetPr codeName="Planilha10"/>
  <dimension ref="A1:L1"/>
  <sheetViews>
    <sheetView showGridLines="0" showRowColHeaders="0" zoomScale="150" zoomScaleNormal="150" workbookViewId="0">
      <pane ySplit="1" topLeftCell="A4" activePane="bottomLeft" state="frozen"/>
      <selection activeCell="E2" sqref="E2"/>
      <selection pane="bottomLeft" activeCell="H19" sqref="H19"/>
    </sheetView>
  </sheetViews>
  <sheetFormatPr defaultRowHeight="14.4" x14ac:dyDescent="0.3"/>
  <cols>
    <col min="1" max="1" width="10.44140625" style="112" customWidth="1"/>
    <col min="2" max="2" width="11.5546875" style="112" customWidth="1"/>
    <col min="3" max="16384" width="8.88671875" style="112"/>
  </cols>
  <sheetData>
    <row r="1" spans="1:12" ht="45" customHeight="1" x14ac:dyDescent="0.3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</row>
  </sheetData>
  <mergeCells count="1">
    <mergeCell ref="A1:L1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DAD293ED10CC46A897A20299936E12" ma:contentTypeVersion="0" ma:contentTypeDescription="Create a new document." ma:contentTypeScope="" ma:versionID="7ba0daed388e060cebc7817d6306688b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7ad3d6dadea2a403e3c504ea98a4ea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49A4EE6-8709-4D2D-A0F8-5544C2781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20B89DF-48F7-4789-A762-F140B65D00F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8E9461-4D84-4353-85C4-1E4AF185A8A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Informações empresa</vt:lpstr>
      <vt:lpstr>Cálculos</vt:lpstr>
      <vt:lpstr>Home</vt:lpstr>
      <vt:lpstr>Registro</vt:lpstr>
      <vt:lpstr>Entrada</vt:lpstr>
      <vt:lpstr>Saida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Paullo.0</dc:creator>
  <cp:lastModifiedBy>Usuario</cp:lastModifiedBy>
  <dcterms:created xsi:type="dcterms:W3CDTF">2020-08-28T02:47:25Z</dcterms:created>
  <dcterms:modified xsi:type="dcterms:W3CDTF">2022-01-13T18:41:28Z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0x0101001DDAD293ED10CC46A897A20299936E12</vt:lpwstr>
  </property>
</Properties>
</file>